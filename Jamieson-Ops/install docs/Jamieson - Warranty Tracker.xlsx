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9"/>
    </font>
    <font>
      <b val="1"/>
      <color rgb="00FFFFFF"/>
      <sz val="9.5"/>
    </font>
    <font>
      <sz val="9.5"/>
    </font>
    <font>
      <b val="1"/>
      <color rgb="00FFFFFF"/>
    </font>
    <font>
      <b val="1"/>
      <color rgb="00002052"/>
      <sz val="10.5"/>
    </font>
    <font>
      <b val="1"/>
      <sz val="11"/>
    </font>
    <font>
      <b val="1"/>
      <color rgb="002E7D32"/>
      <sz val="11"/>
    </font>
    <font>
      <b val="1"/>
      <color rgb="00B26A00"/>
      <sz val="11"/>
    </font>
    <font>
      <b val="1"/>
      <color rgb="00C62828"/>
      <sz val="11"/>
    </font>
    <font>
      <i val="1"/>
      <color rgb="00555555"/>
      <sz val="9.5"/>
    </font>
    <font>
      <b val="1"/>
      <color rgb="00FFFFFF"/>
      <sz val="14"/>
    </font>
    <font>
      <color rgb="00333333"/>
      <sz val="10.5"/>
    </font>
  </fonts>
  <fills count="6">
    <fill>
      <patternFill/>
    </fill>
    <fill>
      <patternFill patternType="gray125"/>
    </fill>
    <fill>
      <patternFill patternType="solid">
        <fgColor rgb="00002052"/>
      </patternFill>
    </fill>
    <fill>
      <patternFill patternType="solid">
        <fgColor rgb="00EAF4FB"/>
      </patternFill>
    </fill>
    <fill>
      <patternFill patternType="solid">
        <fgColor rgb="00334E7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left" indent="1"/>
    </xf>
    <xf numFmtId="0" fontId="5" fillId="4" borderId="1" applyAlignment="1" pivotButton="0" quotePrefix="0" xfId="0">
      <alignment horizontal="center" indent="1"/>
    </xf>
    <xf numFmtId="0" fontId="6" fillId="0" borderId="1" applyAlignment="1" pivotButton="0" quotePrefix="0" xfId="0">
      <alignment indent="1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 indent="1"/>
    </xf>
    <xf numFmtId="0" fontId="13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4">
    <dxf>
      <font>
        <b val="1"/>
        <color rgb="002E7D32"/>
        <sz val="9.5"/>
      </font>
      <fill>
        <patternFill patternType="solid">
          <fgColor rgb="00E6F4EA"/>
        </patternFill>
      </fill>
    </dxf>
    <dxf>
      <font>
        <b val="1"/>
        <color rgb="00B26A00"/>
        <sz val="9.5"/>
      </font>
      <fill>
        <patternFill patternType="solid">
          <fgColor rgb="00FFF4E0"/>
        </patternFill>
      </fill>
    </dxf>
    <dxf>
      <font>
        <b val="1"/>
        <color rgb="00C62828"/>
        <sz val="9.5"/>
      </font>
      <fill>
        <patternFill patternType="solid">
          <fgColor rgb="00FCE8E6"/>
        </patternFill>
      </fill>
    </dxf>
    <dxf>
      <fill>
        <patternFill patternType="solid">
          <fgColor rgb="00FFF4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3" customWidth="1" min="5" max="5"/>
    <col width="10" customWidth="1" min="6" max="6"/>
    <col width="16" customWidth="1" min="7" max="7"/>
    <col width="13" customWidth="1" min="8" max="8"/>
    <col width="13" customWidth="1" min="9" max="9"/>
    <col width="30" customWidth="1" min="10" max="10"/>
  </cols>
  <sheetData>
    <row r="1" ht="30" customHeight="1">
      <c r="A1" s="1" t="inlineStr">
        <is>
          <t>JAMIESON AUTOMATION  —  Warranty Tracker</t>
        </is>
      </c>
    </row>
    <row r="2" ht="24" customHeight="1">
      <c r="A2" s="2" t="inlineStr">
        <is>
          <t>One row per installed device. Expiry &amp; Status are auto-calculated — fill Install date and Term. Workmanship 90 days; mfr terms pass through to owner.</t>
        </is>
      </c>
    </row>
    <row r="4" ht="28" customHeight="1">
      <c r="A4" s="3" t="inlineStr">
        <is>
          <t>Property / Door</t>
        </is>
      </c>
      <c r="B4" s="3" t="inlineStr">
        <is>
          <t>Item</t>
        </is>
      </c>
      <c r="C4" s="3" t="inlineStr">
        <is>
          <t>Mfr / Model</t>
        </is>
      </c>
      <c r="D4" s="3" t="inlineStr">
        <is>
          <t>Serial #</t>
        </is>
      </c>
      <c r="E4" s="3" t="inlineStr">
        <is>
          <t>Install date</t>
        </is>
      </c>
      <c r="F4" s="3" t="inlineStr">
        <is>
          <t>Term (mo)</t>
        </is>
      </c>
      <c r="G4" s="3" t="inlineStr">
        <is>
          <t>Warranty type</t>
        </is>
      </c>
      <c r="H4" s="3" t="inlineStr">
        <is>
          <t>Expiry</t>
        </is>
      </c>
      <c r="I4" s="3" t="inlineStr">
        <is>
          <t>Status</t>
        </is>
      </c>
      <c r="J4" s="3" t="inlineStr">
        <is>
          <t>RMA / Service notes</t>
        </is>
      </c>
    </row>
    <row r="5">
      <c r="A5" s="4" t="inlineStr">
        <is>
          <t>123 Ocean Pines — front</t>
        </is>
      </c>
      <c r="B5" s="4" t="inlineStr">
        <is>
          <t>Smart lock (Yale Assure 2)</t>
        </is>
      </c>
      <c r="C5" s="5" t="inlineStr">
        <is>
          <t>Yale YRD430</t>
        </is>
      </c>
      <c r="D5" s="5" t="inlineStr">
        <is>
          <t>SAMPLE-0001</t>
        </is>
      </c>
      <c r="E5" s="6" t="inlineStr">
        <is>
          <t>2026-06-01</t>
        </is>
      </c>
      <c r="F5" s="7" t="n">
        <v>24</v>
      </c>
      <c r="G5" s="5" t="inlineStr">
        <is>
          <t>Manufacturer</t>
        </is>
      </c>
      <c r="H5" s="6">
        <f>IF(AND($E5&lt;&gt;"",$F5&lt;&gt;""),EDATE($E5,$F5),"")</f>
        <v/>
      </c>
      <c r="I5" s="7">
        <f>IF($H5="","",IF($H5&lt;TODAY(),"Expired",IF($H5&lt;=TODAY()+60,"Expiring &lt;60d","Active")))</f>
        <v/>
      </c>
      <c r="J5" s="4" t="n"/>
    </row>
    <row r="6">
      <c r="A6" s="8" t="inlineStr">
        <is>
          <t>123 Ocean Pines — network</t>
        </is>
      </c>
      <c r="B6" s="8" t="inlineStr">
        <is>
          <t>Cloud Gateway (UCG-Ultra)</t>
        </is>
      </c>
      <c r="C6" s="9" t="inlineStr">
        <is>
          <t>Ubiquiti UCG-Ultra</t>
        </is>
      </c>
      <c r="D6" s="9" t="inlineStr">
        <is>
          <t>SAMPLE-0002</t>
        </is>
      </c>
      <c r="E6" s="10" t="inlineStr">
        <is>
          <t>2026-06-01</t>
        </is>
      </c>
      <c r="F6" s="11" t="n">
        <v>12</v>
      </c>
      <c r="G6" s="9" t="inlineStr">
        <is>
          <t>Manufacturer</t>
        </is>
      </c>
      <c r="H6" s="10">
        <f>IF(AND($E6&lt;&gt;"",$F6&lt;&gt;""),EDATE($E6,$F6),"")</f>
        <v/>
      </c>
      <c r="I6" s="11">
        <f>IF($H6="","",IF($H6&lt;TODAY(),"Expired",IF($H6&lt;=TODAY()+60,"Expiring &lt;60d","Active")))</f>
        <v/>
      </c>
      <c r="J6" s="8" t="n"/>
    </row>
    <row r="7">
      <c r="A7" s="4" t="inlineStr">
        <is>
          <t>123 Ocean Pines — entry</t>
        </is>
      </c>
      <c r="B7" s="4" t="inlineStr">
        <is>
          <t>Camera (G5 Bullet)</t>
        </is>
      </c>
      <c r="C7" s="5" t="inlineStr">
        <is>
          <t>Ubiquiti UVC-G5</t>
        </is>
      </c>
      <c r="D7" s="5" t="inlineStr">
        <is>
          <t>SAMPLE-0003</t>
        </is>
      </c>
      <c r="E7" s="6" t="inlineStr">
        <is>
          <t>2026-06-01</t>
        </is>
      </c>
      <c r="F7" s="7" t="n">
        <v>12</v>
      </c>
      <c r="G7" s="5" t="inlineStr">
        <is>
          <t>Manufacturer</t>
        </is>
      </c>
      <c r="H7" s="6">
        <f>IF(AND($E7&lt;&gt;"",$F7&lt;&gt;""),EDATE($E7,$F7),"")</f>
        <v/>
      </c>
      <c r="I7" s="7">
        <f>IF($H7="","",IF($H7&lt;TODAY(),"Expired",IF($H7&lt;=TODAY()+60,"Expiring &lt;60d","Active")))</f>
        <v/>
      </c>
      <c r="J7" s="4" t="n"/>
    </row>
    <row r="8">
      <c r="A8" s="8" t="inlineStr">
        <is>
          <t>123 Ocean Pines — install</t>
        </is>
      </c>
      <c r="B8" s="8" t="inlineStr">
        <is>
          <t>Workmanship (whole job)</t>
        </is>
      </c>
      <c r="C8" s="9" t="inlineStr">
        <is>
          <t>Jamieson Automation</t>
        </is>
      </c>
      <c r="D8" s="9" t="inlineStr">
        <is>
          <t>—</t>
        </is>
      </c>
      <c r="E8" s="10" t="inlineStr">
        <is>
          <t>2026-06-01</t>
        </is>
      </c>
      <c r="F8" s="11" t="n">
        <v>3</v>
      </c>
      <c r="G8" s="9" t="inlineStr">
        <is>
          <t>Workmanship</t>
        </is>
      </c>
      <c r="H8" s="10">
        <f>IF(AND($E8&lt;&gt;"",$F8&lt;&gt;""),EDATE($E8,$F8),"")</f>
        <v/>
      </c>
      <c r="I8" s="11">
        <f>IF($H8="","",IF($H8&lt;TODAY(),"Expired",IF($H8&lt;=TODAY()+60,"Expiring &lt;60d","Active")))</f>
        <v/>
      </c>
      <c r="J8" s="8" t="n"/>
    </row>
    <row r="9">
      <c r="A9" s="4" t="inlineStr"/>
      <c r="B9" s="4" t="inlineStr"/>
      <c r="C9" s="5" t="inlineStr"/>
      <c r="D9" s="5" t="inlineStr"/>
      <c r="E9" s="6" t="inlineStr"/>
      <c r="F9" s="7" t="inlineStr"/>
      <c r="G9" s="5" t="inlineStr"/>
      <c r="H9" s="6">
        <f>IF(AND($E9&lt;&gt;"",$F9&lt;&gt;""),EDATE($E9,$F9),"")</f>
        <v/>
      </c>
      <c r="I9" s="7">
        <f>IF($H9="","",IF($H9&lt;TODAY(),"Expired",IF($H9&lt;=TODAY()+60,"Expiring &lt;60d","Active")))</f>
        <v/>
      </c>
      <c r="J9" s="4" t="n"/>
    </row>
    <row r="10">
      <c r="A10" s="8" t="inlineStr"/>
      <c r="B10" s="8" t="inlineStr"/>
      <c r="C10" s="9" t="inlineStr"/>
      <c r="D10" s="9" t="inlineStr"/>
      <c r="E10" s="10" t="inlineStr"/>
      <c r="F10" s="11" t="inlineStr"/>
      <c r="G10" s="9" t="inlineStr"/>
      <c r="H10" s="10">
        <f>IF(AND($E10&lt;&gt;"",$F10&lt;&gt;""),EDATE($E10,$F10),"")</f>
        <v/>
      </c>
      <c r="I10" s="11">
        <f>IF($H10="","",IF($H10&lt;TODAY(),"Expired",IF($H10&lt;=TODAY()+60,"Expiring &lt;60d","Active")))</f>
        <v/>
      </c>
      <c r="J10" s="8" t="n"/>
    </row>
    <row r="11">
      <c r="A11" s="4" t="inlineStr"/>
      <c r="B11" s="4" t="inlineStr"/>
      <c r="C11" s="5" t="inlineStr"/>
      <c r="D11" s="5" t="inlineStr"/>
      <c r="E11" s="6" t="inlineStr"/>
      <c r="F11" s="7" t="inlineStr"/>
      <c r="G11" s="5" t="inlineStr"/>
      <c r="H11" s="6">
        <f>IF(AND($E11&lt;&gt;"",$F11&lt;&gt;""),EDATE($E11,$F11),"")</f>
        <v/>
      </c>
      <c r="I11" s="7">
        <f>IF($H11="","",IF($H11&lt;TODAY(),"Expired",IF($H11&lt;=TODAY()+60,"Expiring &lt;60d","Active")))</f>
        <v/>
      </c>
      <c r="J11" s="4" t="n"/>
    </row>
    <row r="12">
      <c r="A12" s="8" t="inlineStr"/>
      <c r="B12" s="8" t="inlineStr"/>
      <c r="C12" s="9" t="inlineStr"/>
      <c r="D12" s="9" t="inlineStr"/>
      <c r="E12" s="10" t="inlineStr"/>
      <c r="F12" s="11" t="inlineStr"/>
      <c r="G12" s="9" t="inlineStr"/>
      <c r="H12" s="10">
        <f>IF(AND($E12&lt;&gt;"",$F12&lt;&gt;""),EDATE($E12,$F12),"")</f>
        <v/>
      </c>
      <c r="I12" s="11">
        <f>IF($H12="","",IF($H12&lt;TODAY(),"Expired",IF($H12&lt;=TODAY()+60,"Expiring &lt;60d","Active")))</f>
        <v/>
      </c>
      <c r="J12" s="8" t="n"/>
    </row>
    <row r="13">
      <c r="A13" s="4" t="inlineStr"/>
      <c r="B13" s="4" t="inlineStr"/>
      <c r="C13" s="5" t="inlineStr"/>
      <c r="D13" s="5" t="inlineStr"/>
      <c r="E13" s="6" t="inlineStr"/>
      <c r="F13" s="7" t="inlineStr"/>
      <c r="G13" s="5" t="inlineStr"/>
      <c r="H13" s="6">
        <f>IF(AND($E13&lt;&gt;"",$F13&lt;&gt;""),EDATE($E13,$F13),"")</f>
        <v/>
      </c>
      <c r="I13" s="7">
        <f>IF($H13="","",IF($H13&lt;TODAY(),"Expired",IF($H13&lt;=TODAY()+60,"Expiring &lt;60d","Active")))</f>
        <v/>
      </c>
      <c r="J13" s="4" t="n"/>
    </row>
    <row r="14">
      <c r="A14" s="8" t="inlineStr"/>
      <c r="B14" s="8" t="inlineStr"/>
      <c r="C14" s="9" t="inlineStr"/>
      <c r="D14" s="9" t="inlineStr"/>
      <c r="E14" s="10" t="inlineStr"/>
      <c r="F14" s="11" t="inlineStr"/>
      <c r="G14" s="9" t="inlineStr"/>
      <c r="H14" s="10">
        <f>IF(AND($E14&lt;&gt;"",$F14&lt;&gt;""),EDATE($E14,$F14),"")</f>
        <v/>
      </c>
      <c r="I14" s="11">
        <f>IF($H14="","",IF($H14&lt;TODAY(),"Expired",IF($H14&lt;=TODAY()+60,"Expiring &lt;60d","Active")))</f>
        <v/>
      </c>
      <c r="J14" s="8" t="n"/>
    </row>
    <row r="15">
      <c r="A15" s="4" t="inlineStr"/>
      <c r="B15" s="4" t="inlineStr"/>
      <c r="C15" s="5" t="inlineStr"/>
      <c r="D15" s="5" t="inlineStr"/>
      <c r="E15" s="6" t="inlineStr"/>
      <c r="F15" s="7" t="inlineStr"/>
      <c r="G15" s="5" t="inlineStr"/>
      <c r="H15" s="6">
        <f>IF(AND($E15&lt;&gt;"",$F15&lt;&gt;""),EDATE($E15,$F15),"")</f>
        <v/>
      </c>
      <c r="I15" s="7">
        <f>IF($H15="","",IF($H15&lt;TODAY(),"Expired",IF($H15&lt;=TODAY()+60,"Expiring &lt;60d","Active")))</f>
        <v/>
      </c>
      <c r="J15" s="4" t="n"/>
    </row>
    <row r="16">
      <c r="A16" s="8" t="inlineStr"/>
      <c r="B16" s="8" t="inlineStr"/>
      <c r="C16" s="9" t="inlineStr"/>
      <c r="D16" s="9" t="inlineStr"/>
      <c r="E16" s="10" t="inlineStr"/>
      <c r="F16" s="11" t="inlineStr"/>
      <c r="G16" s="9" t="inlineStr"/>
      <c r="H16" s="10">
        <f>IF(AND($E16&lt;&gt;"",$F16&lt;&gt;""),EDATE($E16,$F16),"")</f>
        <v/>
      </c>
      <c r="I16" s="11">
        <f>IF($H16="","",IF($H16&lt;TODAY(),"Expired",IF($H16&lt;=TODAY()+60,"Expiring &lt;60d","Active")))</f>
        <v/>
      </c>
      <c r="J16" s="8" t="n"/>
    </row>
    <row r="17">
      <c r="A17" s="4" t="inlineStr"/>
      <c r="B17" s="4" t="inlineStr"/>
      <c r="C17" s="5" t="inlineStr"/>
      <c r="D17" s="5" t="inlineStr"/>
      <c r="E17" s="6" t="inlineStr"/>
      <c r="F17" s="7" t="inlineStr"/>
      <c r="G17" s="5" t="inlineStr"/>
      <c r="H17" s="6">
        <f>IF(AND($E17&lt;&gt;"",$F17&lt;&gt;""),EDATE($E17,$F17),"")</f>
        <v/>
      </c>
      <c r="I17" s="7">
        <f>IF($H17="","",IF($H17&lt;TODAY(),"Expired",IF($H17&lt;=TODAY()+60,"Expiring &lt;60d","Active")))</f>
        <v/>
      </c>
      <c r="J17" s="4" t="n"/>
    </row>
    <row r="18">
      <c r="A18" s="8" t="inlineStr"/>
      <c r="B18" s="8" t="inlineStr"/>
      <c r="C18" s="9" t="inlineStr"/>
      <c r="D18" s="9" t="inlineStr"/>
      <c r="E18" s="10" t="inlineStr"/>
      <c r="F18" s="11" t="inlineStr"/>
      <c r="G18" s="9" t="inlineStr"/>
      <c r="H18" s="10">
        <f>IF(AND($E18&lt;&gt;"",$F18&lt;&gt;""),EDATE($E18,$F18),"")</f>
        <v/>
      </c>
      <c r="I18" s="11">
        <f>IF($H18="","",IF($H18&lt;TODAY(),"Expired",IF($H18&lt;=TODAY()+60,"Expiring &lt;60d","Active")))</f>
        <v/>
      </c>
      <c r="J18" s="8" t="n"/>
    </row>
    <row r="19">
      <c r="A19" s="4" t="inlineStr"/>
      <c r="B19" s="4" t="inlineStr"/>
      <c r="C19" s="5" t="inlineStr"/>
      <c r="D19" s="5" t="inlineStr"/>
      <c r="E19" s="6" t="inlineStr"/>
      <c r="F19" s="7" t="inlineStr"/>
      <c r="G19" s="5" t="inlineStr"/>
      <c r="H19" s="6">
        <f>IF(AND($E19&lt;&gt;"",$F19&lt;&gt;""),EDATE($E19,$F19),"")</f>
        <v/>
      </c>
      <c r="I19" s="7">
        <f>IF($H19="","",IF($H19&lt;TODAY(),"Expired",IF($H19&lt;=TODAY()+60,"Expiring &lt;60d","Active")))</f>
        <v/>
      </c>
      <c r="J19" s="4" t="n"/>
    </row>
    <row r="20">
      <c r="A20" s="8" t="inlineStr"/>
      <c r="B20" s="8" t="inlineStr"/>
      <c r="C20" s="9" t="inlineStr"/>
      <c r="D20" s="9" t="inlineStr"/>
      <c r="E20" s="10" t="inlineStr"/>
      <c r="F20" s="11" t="inlineStr"/>
      <c r="G20" s="9" t="inlineStr"/>
      <c r="H20" s="10">
        <f>IF(AND($E20&lt;&gt;"",$F20&lt;&gt;""),EDATE($E20,$F20),"")</f>
        <v/>
      </c>
      <c r="I20" s="11">
        <f>IF($H20="","",IF($H20&lt;TODAY(),"Expired",IF($H20&lt;=TODAY()+60,"Expiring &lt;60d","Active")))</f>
        <v/>
      </c>
      <c r="J20" s="8" t="n"/>
    </row>
    <row r="21">
      <c r="A21" s="4" t="inlineStr"/>
      <c r="B21" s="4" t="inlineStr"/>
      <c r="C21" s="5" t="inlineStr"/>
      <c r="D21" s="5" t="inlineStr"/>
      <c r="E21" s="6" t="inlineStr"/>
      <c r="F21" s="7" t="inlineStr"/>
      <c r="G21" s="5" t="inlineStr"/>
      <c r="H21" s="6">
        <f>IF(AND($E21&lt;&gt;"",$F21&lt;&gt;""),EDATE($E21,$F21),"")</f>
        <v/>
      </c>
      <c r="I21" s="7">
        <f>IF($H21="","",IF($H21&lt;TODAY(),"Expired",IF($H21&lt;=TODAY()+60,"Expiring &lt;60d","Active")))</f>
        <v/>
      </c>
      <c r="J21" s="4" t="n"/>
    </row>
    <row r="22">
      <c r="A22" s="8" t="inlineStr"/>
      <c r="B22" s="8" t="inlineStr"/>
      <c r="C22" s="9" t="inlineStr"/>
      <c r="D22" s="9" t="inlineStr"/>
      <c r="E22" s="10" t="inlineStr"/>
      <c r="F22" s="11" t="inlineStr"/>
      <c r="G22" s="9" t="inlineStr"/>
      <c r="H22" s="10">
        <f>IF(AND($E22&lt;&gt;"",$F22&lt;&gt;""),EDATE($E22,$F22),"")</f>
        <v/>
      </c>
      <c r="I22" s="11">
        <f>IF($H22="","",IF($H22&lt;TODAY(),"Expired",IF($H22&lt;=TODAY()+60,"Expiring &lt;60d","Active")))</f>
        <v/>
      </c>
      <c r="J22" s="8" t="n"/>
    </row>
    <row r="23">
      <c r="A23" s="4" t="inlineStr"/>
      <c r="B23" s="4" t="inlineStr"/>
      <c r="C23" s="5" t="inlineStr"/>
      <c r="D23" s="5" t="inlineStr"/>
      <c r="E23" s="6" t="inlineStr"/>
      <c r="F23" s="7" t="inlineStr"/>
      <c r="G23" s="5" t="inlineStr"/>
      <c r="H23" s="6">
        <f>IF(AND($E23&lt;&gt;"",$F23&lt;&gt;""),EDATE($E23,$F23),"")</f>
        <v/>
      </c>
      <c r="I23" s="7">
        <f>IF($H23="","",IF($H23&lt;TODAY(),"Expired",IF($H23&lt;=TODAY()+60,"Expiring &lt;60d","Active")))</f>
        <v/>
      </c>
      <c r="J23" s="4" t="n"/>
    </row>
    <row r="24">
      <c r="A24" s="8" t="inlineStr"/>
      <c r="B24" s="8" t="inlineStr"/>
      <c r="C24" s="9" t="inlineStr"/>
      <c r="D24" s="9" t="inlineStr"/>
      <c r="E24" s="10" t="inlineStr"/>
      <c r="F24" s="11" t="inlineStr"/>
      <c r="G24" s="9" t="inlineStr"/>
      <c r="H24" s="10">
        <f>IF(AND($E24&lt;&gt;"",$F24&lt;&gt;""),EDATE($E24,$F24),"")</f>
        <v/>
      </c>
      <c r="I24" s="11">
        <f>IF($H24="","",IF($H24&lt;TODAY(),"Expired",IF($H24&lt;=TODAY()+60,"Expiring &lt;60d","Active")))</f>
        <v/>
      </c>
      <c r="J24" s="8" t="n"/>
    </row>
    <row r="25">
      <c r="A25" s="4" t="inlineStr"/>
      <c r="B25" s="4" t="inlineStr"/>
      <c r="C25" s="5" t="inlineStr"/>
      <c r="D25" s="5" t="inlineStr"/>
      <c r="E25" s="6" t="inlineStr"/>
      <c r="F25" s="7" t="inlineStr"/>
      <c r="G25" s="5" t="inlineStr"/>
      <c r="H25" s="6">
        <f>IF(AND($E25&lt;&gt;"",$F25&lt;&gt;""),EDATE($E25,$F25),"")</f>
        <v/>
      </c>
      <c r="I25" s="7">
        <f>IF($H25="","",IF($H25&lt;TODAY(),"Expired",IF($H25&lt;=TODAY()+60,"Expiring &lt;60d","Active")))</f>
        <v/>
      </c>
      <c r="J25" s="4" t="n"/>
    </row>
    <row r="26">
      <c r="A26" s="8" t="inlineStr"/>
      <c r="B26" s="8" t="inlineStr"/>
      <c r="C26" s="9" t="inlineStr"/>
      <c r="D26" s="9" t="inlineStr"/>
      <c r="E26" s="10" t="inlineStr"/>
      <c r="F26" s="11" t="inlineStr"/>
      <c r="G26" s="9" t="inlineStr"/>
      <c r="H26" s="10">
        <f>IF(AND($E26&lt;&gt;"",$F26&lt;&gt;""),EDATE($E26,$F26),"")</f>
        <v/>
      </c>
      <c r="I26" s="11">
        <f>IF($H26="","",IF($H26&lt;TODAY(),"Expired",IF($H26&lt;=TODAY()+60,"Expiring &lt;60d","Active")))</f>
        <v/>
      </c>
      <c r="J26" s="8" t="n"/>
    </row>
    <row r="27">
      <c r="A27" s="4" t="inlineStr"/>
      <c r="B27" s="4" t="inlineStr"/>
      <c r="C27" s="5" t="inlineStr"/>
      <c r="D27" s="5" t="inlineStr"/>
      <c r="E27" s="6" t="inlineStr"/>
      <c r="F27" s="7" t="inlineStr"/>
      <c r="G27" s="5" t="inlineStr"/>
      <c r="H27" s="6">
        <f>IF(AND($E27&lt;&gt;"",$F27&lt;&gt;""),EDATE($E27,$F27),"")</f>
        <v/>
      </c>
      <c r="I27" s="7">
        <f>IF($H27="","",IF($H27&lt;TODAY(),"Expired",IF($H27&lt;=TODAY()+60,"Expiring &lt;60d","Active")))</f>
        <v/>
      </c>
      <c r="J27" s="4" t="n"/>
    </row>
    <row r="28">
      <c r="A28" s="8" t="inlineStr"/>
      <c r="B28" s="8" t="inlineStr"/>
      <c r="C28" s="9" t="inlineStr"/>
      <c r="D28" s="9" t="inlineStr"/>
      <c r="E28" s="10" t="inlineStr"/>
      <c r="F28" s="11" t="inlineStr"/>
      <c r="G28" s="9" t="inlineStr"/>
      <c r="H28" s="10">
        <f>IF(AND($E28&lt;&gt;"",$F28&lt;&gt;""),EDATE($E28,$F28),"")</f>
        <v/>
      </c>
      <c r="I28" s="11">
        <f>IF($H28="","",IF($H28&lt;TODAY(),"Expired",IF($H28&lt;=TODAY()+60,"Expiring &lt;60d","Active")))</f>
        <v/>
      </c>
      <c r="J28" s="8" t="n"/>
    </row>
    <row r="29">
      <c r="A29" s="4" t="inlineStr"/>
      <c r="B29" s="4" t="inlineStr"/>
      <c r="C29" s="5" t="inlineStr"/>
      <c r="D29" s="5" t="inlineStr"/>
      <c r="E29" s="6" t="inlineStr"/>
      <c r="F29" s="7" t="inlineStr"/>
      <c r="G29" s="5" t="inlineStr"/>
      <c r="H29" s="6">
        <f>IF(AND($E29&lt;&gt;"",$F29&lt;&gt;""),EDATE($E29,$F29),"")</f>
        <v/>
      </c>
      <c r="I29" s="7">
        <f>IF($H29="","",IF($H29&lt;TODAY(),"Expired",IF($H29&lt;=TODAY()+60,"Expiring &lt;60d","Active")))</f>
        <v/>
      </c>
      <c r="J29" s="4" t="n"/>
    </row>
    <row r="30">
      <c r="A30" s="8" t="inlineStr"/>
      <c r="B30" s="8" t="inlineStr"/>
      <c r="C30" s="9" t="inlineStr"/>
      <c r="D30" s="9" t="inlineStr"/>
      <c r="E30" s="10" t="inlineStr"/>
      <c r="F30" s="11" t="inlineStr"/>
      <c r="G30" s="9" t="inlineStr"/>
      <c r="H30" s="10">
        <f>IF(AND($E30&lt;&gt;"",$F30&lt;&gt;""),EDATE($E30,$F30),"")</f>
        <v/>
      </c>
      <c r="I30" s="11">
        <f>IF($H30="","",IF($H30&lt;TODAY(),"Expired",IF($H30&lt;=TODAY()+60,"Expiring &lt;60d","Active")))</f>
        <v/>
      </c>
      <c r="J30" s="8" t="n"/>
    </row>
    <row r="31">
      <c r="A31" s="4" t="inlineStr"/>
      <c r="B31" s="4" t="inlineStr"/>
      <c r="C31" s="5" t="inlineStr"/>
      <c r="D31" s="5" t="inlineStr"/>
      <c r="E31" s="6" t="inlineStr"/>
      <c r="F31" s="7" t="inlineStr"/>
      <c r="G31" s="5" t="inlineStr"/>
      <c r="H31" s="6">
        <f>IF(AND($E31&lt;&gt;"",$F31&lt;&gt;""),EDATE($E31,$F31),"")</f>
        <v/>
      </c>
      <c r="I31" s="7">
        <f>IF($H31="","",IF($H31&lt;TODAY(),"Expired",IF($H31&lt;=TODAY()+60,"Expiring &lt;60d","Active")))</f>
        <v/>
      </c>
      <c r="J31" s="4" t="n"/>
    </row>
    <row r="32">
      <c r="A32" s="8" t="inlineStr"/>
      <c r="B32" s="8" t="inlineStr"/>
      <c r="C32" s="9" t="inlineStr"/>
      <c r="D32" s="9" t="inlineStr"/>
      <c r="E32" s="10" t="inlineStr"/>
      <c r="F32" s="11" t="inlineStr"/>
      <c r="G32" s="9" t="inlineStr"/>
      <c r="H32" s="10">
        <f>IF(AND($E32&lt;&gt;"",$F32&lt;&gt;""),EDATE($E32,$F32),"")</f>
        <v/>
      </c>
      <c r="I32" s="11">
        <f>IF($H32="","",IF($H32&lt;TODAY(),"Expired",IF($H32&lt;=TODAY()+60,"Expiring &lt;60d","Active")))</f>
        <v/>
      </c>
      <c r="J32" s="8" t="n"/>
    </row>
    <row r="33">
      <c r="A33" s="4" t="inlineStr"/>
      <c r="B33" s="4" t="inlineStr"/>
      <c r="C33" s="5" t="inlineStr"/>
      <c r="D33" s="5" t="inlineStr"/>
      <c r="E33" s="6" t="inlineStr"/>
      <c r="F33" s="7" t="inlineStr"/>
      <c r="G33" s="5" t="inlineStr"/>
      <c r="H33" s="6">
        <f>IF(AND($E33&lt;&gt;"",$F33&lt;&gt;""),EDATE($E33,$F33),"")</f>
        <v/>
      </c>
      <c r="I33" s="7">
        <f>IF($H33="","",IF($H33&lt;TODAY(),"Expired",IF($H33&lt;=TODAY()+60,"Expiring &lt;60d","Active")))</f>
        <v/>
      </c>
      <c r="J33" s="4" t="n"/>
    </row>
    <row r="34">
      <c r="A34" s="8" t="inlineStr"/>
      <c r="B34" s="8" t="inlineStr"/>
      <c r="C34" s="9" t="inlineStr"/>
      <c r="D34" s="9" t="inlineStr"/>
      <c r="E34" s="10" t="inlineStr"/>
      <c r="F34" s="11" t="inlineStr"/>
      <c r="G34" s="9" t="inlineStr"/>
      <c r="H34" s="10">
        <f>IF(AND($E34&lt;&gt;"",$F34&lt;&gt;""),EDATE($E34,$F34),"")</f>
        <v/>
      </c>
      <c r="I34" s="11">
        <f>IF($H34="","",IF($H34&lt;TODAY(),"Expired",IF($H34&lt;=TODAY()+60,"Expiring &lt;60d","Active")))</f>
        <v/>
      </c>
      <c r="J34" s="8" t="n"/>
    </row>
    <row r="35">
      <c r="A35" s="4" t="inlineStr"/>
      <c r="B35" s="4" t="inlineStr"/>
      <c r="C35" s="5" t="inlineStr"/>
      <c r="D35" s="5" t="inlineStr"/>
      <c r="E35" s="6" t="inlineStr"/>
      <c r="F35" s="7" t="inlineStr"/>
      <c r="G35" s="5" t="inlineStr"/>
      <c r="H35" s="6">
        <f>IF(AND($E35&lt;&gt;"",$F35&lt;&gt;""),EDATE($E35,$F35),"")</f>
        <v/>
      </c>
      <c r="I35" s="7">
        <f>IF($H35="","",IF($H35&lt;TODAY(),"Expired",IF($H35&lt;=TODAY()+60,"Expiring &lt;60d","Active")))</f>
        <v/>
      </c>
      <c r="J35" s="4" t="n"/>
    </row>
    <row r="36">
      <c r="A36" s="8" t="inlineStr"/>
      <c r="B36" s="8" t="inlineStr"/>
      <c r="C36" s="9" t="inlineStr"/>
      <c r="D36" s="9" t="inlineStr"/>
      <c r="E36" s="10" t="inlineStr"/>
      <c r="F36" s="11" t="inlineStr"/>
      <c r="G36" s="9" t="inlineStr"/>
      <c r="H36" s="10">
        <f>IF(AND($E36&lt;&gt;"",$F36&lt;&gt;""),EDATE($E36,$F36),"")</f>
        <v/>
      </c>
      <c r="I36" s="11">
        <f>IF($H36="","",IF($H36&lt;TODAY(),"Expired",IF($H36&lt;=TODAY()+60,"Expiring &lt;60d","Active")))</f>
        <v/>
      </c>
      <c r="J36" s="8" t="n"/>
    </row>
    <row r="37">
      <c r="A37" s="4" t="inlineStr"/>
      <c r="B37" s="4" t="inlineStr"/>
      <c r="C37" s="5" t="inlineStr"/>
      <c r="D37" s="5" t="inlineStr"/>
      <c r="E37" s="6" t="inlineStr"/>
      <c r="F37" s="7" t="inlineStr"/>
      <c r="G37" s="5" t="inlineStr"/>
      <c r="H37" s="6">
        <f>IF(AND($E37&lt;&gt;"",$F37&lt;&gt;""),EDATE($E37,$F37),"")</f>
        <v/>
      </c>
      <c r="I37" s="7">
        <f>IF($H37="","",IF($H37&lt;TODAY(),"Expired",IF($H37&lt;=TODAY()+60,"Expiring &lt;60d","Active")))</f>
        <v/>
      </c>
      <c r="J37" s="4" t="n"/>
    </row>
    <row r="38">
      <c r="A38" s="8" t="inlineStr"/>
      <c r="B38" s="8" t="inlineStr"/>
      <c r="C38" s="9" t="inlineStr"/>
      <c r="D38" s="9" t="inlineStr"/>
      <c r="E38" s="10" t="inlineStr"/>
      <c r="F38" s="11" t="inlineStr"/>
      <c r="G38" s="9" t="inlineStr"/>
      <c r="H38" s="10">
        <f>IF(AND($E38&lt;&gt;"",$F38&lt;&gt;""),EDATE($E38,$F38),"")</f>
        <v/>
      </c>
      <c r="I38" s="11">
        <f>IF($H38="","",IF($H38&lt;TODAY(),"Expired",IF($H38&lt;=TODAY()+60,"Expiring &lt;60d","Active")))</f>
        <v/>
      </c>
      <c r="J38" s="8" t="n"/>
    </row>
    <row r="39">
      <c r="A39" s="4" t="inlineStr"/>
      <c r="B39" s="4" t="inlineStr"/>
      <c r="C39" s="5" t="inlineStr"/>
      <c r="D39" s="5" t="inlineStr"/>
      <c r="E39" s="6" t="inlineStr"/>
      <c r="F39" s="7" t="inlineStr"/>
      <c r="G39" s="5" t="inlineStr"/>
      <c r="H39" s="6">
        <f>IF(AND($E39&lt;&gt;"",$F39&lt;&gt;""),EDATE($E39,$F39),"")</f>
        <v/>
      </c>
      <c r="I39" s="7">
        <f>IF($H39="","",IF($H39&lt;TODAY(),"Expired",IF($H39&lt;=TODAY()+60,"Expiring &lt;60d","Active")))</f>
        <v/>
      </c>
      <c r="J39" s="4" t="n"/>
    </row>
    <row r="40">
      <c r="A40" s="8" t="inlineStr"/>
      <c r="B40" s="8" t="inlineStr"/>
      <c r="C40" s="9" t="inlineStr"/>
      <c r="D40" s="9" t="inlineStr"/>
      <c r="E40" s="10" t="inlineStr"/>
      <c r="F40" s="11" t="inlineStr"/>
      <c r="G40" s="9" t="inlineStr"/>
      <c r="H40" s="10">
        <f>IF(AND($E40&lt;&gt;"",$F40&lt;&gt;""),EDATE($E40,$F40),"")</f>
        <v/>
      </c>
      <c r="I40" s="11">
        <f>IF($H40="","",IF($H40&lt;TODAY(),"Expired",IF($H40&lt;=TODAY()+60,"Expiring &lt;60d","Active")))</f>
        <v/>
      </c>
      <c r="J40" s="8" t="n"/>
    </row>
    <row r="41">
      <c r="A41" s="4" t="inlineStr"/>
      <c r="B41" s="4" t="inlineStr"/>
      <c r="C41" s="5" t="inlineStr"/>
      <c r="D41" s="5" t="inlineStr"/>
      <c r="E41" s="6" t="inlineStr"/>
      <c r="F41" s="7" t="inlineStr"/>
      <c r="G41" s="5" t="inlineStr"/>
      <c r="H41" s="6">
        <f>IF(AND($E41&lt;&gt;"",$F41&lt;&gt;""),EDATE($E41,$F41),"")</f>
        <v/>
      </c>
      <c r="I41" s="7">
        <f>IF($H41="","",IF($H41&lt;TODAY(),"Expired",IF($H41&lt;=TODAY()+60,"Expiring &lt;60d","Active")))</f>
        <v/>
      </c>
      <c r="J41" s="4" t="n"/>
    </row>
    <row r="42">
      <c r="A42" s="8" t="inlineStr"/>
      <c r="B42" s="8" t="inlineStr"/>
      <c r="C42" s="9" t="inlineStr"/>
      <c r="D42" s="9" t="inlineStr"/>
      <c r="E42" s="10" t="inlineStr"/>
      <c r="F42" s="11" t="inlineStr"/>
      <c r="G42" s="9" t="inlineStr"/>
      <c r="H42" s="10">
        <f>IF(AND($E42&lt;&gt;"",$F42&lt;&gt;""),EDATE($E42,$F42),"")</f>
        <v/>
      </c>
      <c r="I42" s="11">
        <f>IF($H42="","",IF($H42&lt;TODAY(),"Expired",IF($H42&lt;=TODAY()+60,"Expiring &lt;60d","Active")))</f>
        <v/>
      </c>
      <c r="J42" s="8" t="n"/>
    </row>
    <row r="43">
      <c r="A43" s="4" t="inlineStr"/>
      <c r="B43" s="4" t="inlineStr"/>
      <c r="C43" s="5" t="inlineStr"/>
      <c r="D43" s="5" t="inlineStr"/>
      <c r="E43" s="6" t="inlineStr"/>
      <c r="F43" s="7" t="inlineStr"/>
      <c r="G43" s="5" t="inlineStr"/>
      <c r="H43" s="6">
        <f>IF(AND($E43&lt;&gt;"",$F43&lt;&gt;""),EDATE($E43,$F43),"")</f>
        <v/>
      </c>
      <c r="I43" s="7">
        <f>IF($H43="","",IF($H43&lt;TODAY(),"Expired",IF($H43&lt;=TODAY()+60,"Expiring &lt;60d","Active")))</f>
        <v/>
      </c>
      <c r="J43" s="4" t="n"/>
    </row>
    <row r="44">
      <c r="A44" s="8" t="inlineStr"/>
      <c r="B44" s="8" t="inlineStr"/>
      <c r="C44" s="9" t="inlineStr"/>
      <c r="D44" s="9" t="inlineStr"/>
      <c r="E44" s="10" t="inlineStr"/>
      <c r="F44" s="11" t="inlineStr"/>
      <c r="G44" s="9" t="inlineStr"/>
      <c r="H44" s="10">
        <f>IF(AND($E44&lt;&gt;"",$F44&lt;&gt;""),EDATE($E44,$F44),"")</f>
        <v/>
      </c>
      <c r="I44" s="11">
        <f>IF($H44="","",IF($H44&lt;TODAY(),"Expired",IF($H44&lt;=TODAY()+60,"Expiring &lt;60d","Active")))</f>
        <v/>
      </c>
      <c r="J44" s="8" t="n"/>
    </row>
    <row r="45">
      <c r="A45" s="4" t="inlineStr"/>
      <c r="B45" s="4" t="inlineStr"/>
      <c r="C45" s="5" t="inlineStr"/>
      <c r="D45" s="5" t="inlineStr"/>
      <c r="E45" s="6" t="inlineStr"/>
      <c r="F45" s="7" t="inlineStr"/>
      <c r="G45" s="5" t="inlineStr"/>
      <c r="H45" s="6">
        <f>IF(AND($E45&lt;&gt;"",$F45&lt;&gt;""),EDATE($E45,$F45),"")</f>
        <v/>
      </c>
      <c r="I45" s="7">
        <f>IF($H45="","",IF($H45&lt;TODAY(),"Expired",IF($H45&lt;=TODAY()+60,"Expiring &lt;60d","Active")))</f>
        <v/>
      </c>
      <c r="J45" s="4" t="n"/>
    </row>
    <row r="46">
      <c r="A46" s="8" t="inlineStr"/>
      <c r="B46" s="8" t="inlineStr"/>
      <c r="C46" s="9" t="inlineStr"/>
      <c r="D46" s="9" t="inlineStr"/>
      <c r="E46" s="10" t="inlineStr"/>
      <c r="F46" s="11" t="inlineStr"/>
      <c r="G46" s="9" t="inlineStr"/>
      <c r="H46" s="10">
        <f>IF(AND($E46&lt;&gt;"",$F46&lt;&gt;""),EDATE($E46,$F46),"")</f>
        <v/>
      </c>
      <c r="I46" s="11">
        <f>IF($H46="","",IF($H46&lt;TODAY(),"Expired",IF($H46&lt;=TODAY()+60,"Expiring &lt;60d","Active")))</f>
        <v/>
      </c>
      <c r="J46" s="8" t="n"/>
    </row>
    <row r="47">
      <c r="A47" s="4" t="inlineStr"/>
      <c r="B47" s="4" t="inlineStr"/>
      <c r="C47" s="5" t="inlineStr"/>
      <c r="D47" s="5" t="inlineStr"/>
      <c r="E47" s="6" t="inlineStr"/>
      <c r="F47" s="7" t="inlineStr"/>
      <c r="G47" s="5" t="inlineStr"/>
      <c r="H47" s="6">
        <f>IF(AND($E47&lt;&gt;"",$F47&lt;&gt;""),EDATE($E47,$F47),"")</f>
        <v/>
      </c>
      <c r="I47" s="7">
        <f>IF($H47="","",IF($H47&lt;TODAY(),"Expired",IF($H47&lt;=TODAY()+60,"Expiring &lt;60d","Active")))</f>
        <v/>
      </c>
      <c r="J47" s="4" t="n"/>
    </row>
    <row r="48">
      <c r="A48" s="8" t="inlineStr"/>
      <c r="B48" s="8" t="inlineStr"/>
      <c r="C48" s="9" t="inlineStr"/>
      <c r="D48" s="9" t="inlineStr"/>
      <c r="E48" s="10" t="inlineStr"/>
      <c r="F48" s="11" t="inlineStr"/>
      <c r="G48" s="9" t="inlineStr"/>
      <c r="H48" s="10">
        <f>IF(AND($E48&lt;&gt;"",$F48&lt;&gt;""),EDATE($E48,$F48),"")</f>
        <v/>
      </c>
      <c r="I48" s="11">
        <f>IF($H48="","",IF($H48&lt;TODAY(),"Expired",IF($H48&lt;=TODAY()+60,"Expiring &lt;60d","Active")))</f>
        <v/>
      </c>
      <c r="J48" s="8" t="n"/>
    </row>
    <row r="49">
      <c r="A49" s="4" t="inlineStr"/>
      <c r="B49" s="4" t="inlineStr"/>
      <c r="C49" s="5" t="inlineStr"/>
      <c r="D49" s="5" t="inlineStr"/>
      <c r="E49" s="6" t="inlineStr"/>
      <c r="F49" s="7" t="inlineStr"/>
      <c r="G49" s="5" t="inlineStr"/>
      <c r="H49" s="6">
        <f>IF(AND($E49&lt;&gt;"",$F49&lt;&gt;""),EDATE($E49,$F49),"")</f>
        <v/>
      </c>
      <c r="I49" s="7">
        <f>IF($H49="","",IF($H49&lt;TODAY(),"Expired",IF($H49&lt;=TODAY()+60,"Expiring &lt;60d","Active")))</f>
        <v/>
      </c>
      <c r="J49" s="4" t="n"/>
    </row>
    <row r="50">
      <c r="A50" s="8" t="inlineStr"/>
      <c r="B50" s="8" t="inlineStr"/>
      <c r="C50" s="9" t="inlineStr"/>
      <c r="D50" s="9" t="inlineStr"/>
      <c r="E50" s="10" t="inlineStr"/>
      <c r="F50" s="11" t="inlineStr"/>
      <c r="G50" s="9" t="inlineStr"/>
      <c r="H50" s="10">
        <f>IF(AND($E50&lt;&gt;"",$F50&lt;&gt;""),EDATE($E50,$F50),"")</f>
        <v/>
      </c>
      <c r="I50" s="11">
        <f>IF($H50="","",IF($H50&lt;TODAY(),"Expired",IF($H50&lt;=TODAY()+60,"Expiring &lt;60d","Active")))</f>
        <v/>
      </c>
      <c r="J50" s="8" t="n"/>
    </row>
    <row r="51">
      <c r="A51" s="4" t="inlineStr"/>
      <c r="B51" s="4" t="inlineStr"/>
      <c r="C51" s="5" t="inlineStr"/>
      <c r="D51" s="5" t="inlineStr"/>
      <c r="E51" s="6" t="inlineStr"/>
      <c r="F51" s="7" t="inlineStr"/>
      <c r="G51" s="5" t="inlineStr"/>
      <c r="H51" s="6">
        <f>IF(AND($E51&lt;&gt;"",$F51&lt;&gt;""),EDATE($E51,$F51),"")</f>
        <v/>
      </c>
      <c r="I51" s="7">
        <f>IF($H51="","",IF($H51&lt;TODAY(),"Expired",IF($H51&lt;=TODAY()+60,"Expiring &lt;60d","Active")))</f>
        <v/>
      </c>
      <c r="J51" s="4" t="n"/>
    </row>
    <row r="52">
      <c r="A52" s="8" t="inlineStr"/>
      <c r="B52" s="8" t="inlineStr"/>
      <c r="C52" s="9" t="inlineStr"/>
      <c r="D52" s="9" t="inlineStr"/>
      <c r="E52" s="10" t="inlineStr"/>
      <c r="F52" s="11" t="inlineStr"/>
      <c r="G52" s="9" t="inlineStr"/>
      <c r="H52" s="10">
        <f>IF(AND($E52&lt;&gt;"",$F52&lt;&gt;""),EDATE($E52,$F52),"")</f>
        <v/>
      </c>
      <c r="I52" s="11">
        <f>IF($H52="","",IF($H52&lt;TODAY(),"Expired",IF($H52&lt;=TODAY()+60,"Expiring &lt;60d","Active")))</f>
        <v/>
      </c>
      <c r="J52" s="8" t="n"/>
    </row>
    <row r="53">
      <c r="A53" s="4" t="inlineStr"/>
      <c r="B53" s="4" t="inlineStr"/>
      <c r="C53" s="5" t="inlineStr"/>
      <c r="D53" s="5" t="inlineStr"/>
      <c r="E53" s="6" t="inlineStr"/>
      <c r="F53" s="7" t="inlineStr"/>
      <c r="G53" s="5" t="inlineStr"/>
      <c r="H53" s="6">
        <f>IF(AND($E53&lt;&gt;"",$F53&lt;&gt;""),EDATE($E53,$F53),"")</f>
        <v/>
      </c>
      <c r="I53" s="7">
        <f>IF($H53="","",IF($H53&lt;TODAY(),"Expired",IF($H53&lt;=TODAY()+60,"Expiring &lt;60d","Active")))</f>
        <v/>
      </c>
      <c r="J53" s="4" t="n"/>
    </row>
    <row r="54">
      <c r="A54" s="8" t="inlineStr"/>
      <c r="B54" s="8" t="inlineStr"/>
      <c r="C54" s="9" t="inlineStr"/>
      <c r="D54" s="9" t="inlineStr"/>
      <c r="E54" s="10" t="inlineStr"/>
      <c r="F54" s="11" t="inlineStr"/>
      <c r="G54" s="9" t="inlineStr"/>
      <c r="H54" s="10">
        <f>IF(AND($E54&lt;&gt;"",$F54&lt;&gt;""),EDATE($E54,$F54),"")</f>
        <v/>
      </c>
      <c r="I54" s="11">
        <f>IF($H54="","",IF($H54&lt;TODAY(),"Expired",IF($H54&lt;=TODAY()+60,"Expiring &lt;60d","Active")))</f>
        <v/>
      </c>
      <c r="J54" s="8" t="n"/>
    </row>
    <row r="55">
      <c r="A55" s="4" t="inlineStr"/>
      <c r="B55" s="4" t="inlineStr"/>
      <c r="C55" s="5" t="inlineStr"/>
      <c r="D55" s="5" t="inlineStr"/>
      <c r="E55" s="6" t="inlineStr"/>
      <c r="F55" s="7" t="inlineStr"/>
      <c r="G55" s="5" t="inlineStr"/>
      <c r="H55" s="6">
        <f>IF(AND($E55&lt;&gt;"",$F55&lt;&gt;""),EDATE($E55,$F55),"")</f>
        <v/>
      </c>
      <c r="I55" s="7">
        <f>IF($H55="","",IF($H55&lt;TODAY(),"Expired",IF($H55&lt;=TODAY()+60,"Expiring &lt;60d","Active")))</f>
        <v/>
      </c>
      <c r="J55" s="4" t="n"/>
    </row>
    <row r="56">
      <c r="A56" s="8" t="inlineStr"/>
      <c r="B56" s="8" t="inlineStr"/>
      <c r="C56" s="9" t="inlineStr"/>
      <c r="D56" s="9" t="inlineStr"/>
      <c r="E56" s="10" t="inlineStr"/>
      <c r="F56" s="11" t="inlineStr"/>
      <c r="G56" s="9" t="inlineStr"/>
      <c r="H56" s="10">
        <f>IF(AND($E56&lt;&gt;"",$F56&lt;&gt;""),EDATE($E56,$F56),"")</f>
        <v/>
      </c>
      <c r="I56" s="11">
        <f>IF($H56="","",IF($H56&lt;TODAY(),"Expired",IF($H56&lt;=TODAY()+60,"Expiring &lt;60d","Active")))</f>
        <v/>
      </c>
      <c r="J56" s="8" t="n"/>
    </row>
    <row r="57">
      <c r="A57" s="4" t="inlineStr"/>
      <c r="B57" s="4" t="inlineStr"/>
      <c r="C57" s="5" t="inlineStr"/>
      <c r="D57" s="5" t="inlineStr"/>
      <c r="E57" s="6" t="inlineStr"/>
      <c r="F57" s="7" t="inlineStr"/>
      <c r="G57" s="5" t="inlineStr"/>
      <c r="H57" s="6">
        <f>IF(AND($E57&lt;&gt;"",$F57&lt;&gt;""),EDATE($E57,$F57),"")</f>
        <v/>
      </c>
      <c r="I57" s="7">
        <f>IF($H57="","",IF($H57&lt;TODAY(),"Expired",IF($H57&lt;=TODAY()+60,"Expiring &lt;60d","Active")))</f>
        <v/>
      </c>
      <c r="J57" s="4" t="n"/>
    </row>
    <row r="58">
      <c r="A58" s="8" t="inlineStr"/>
      <c r="B58" s="8" t="inlineStr"/>
      <c r="C58" s="9" t="inlineStr"/>
      <c r="D58" s="9" t="inlineStr"/>
      <c r="E58" s="10" t="inlineStr"/>
      <c r="F58" s="11" t="inlineStr"/>
      <c r="G58" s="9" t="inlineStr"/>
      <c r="H58" s="10">
        <f>IF(AND($E58&lt;&gt;"",$F58&lt;&gt;""),EDATE($E58,$F58),"")</f>
        <v/>
      </c>
      <c r="I58" s="11">
        <f>IF($H58="","",IF($H58&lt;TODAY(),"Expired",IF($H58&lt;=TODAY()+60,"Expiring &lt;60d","Active")))</f>
        <v/>
      </c>
      <c r="J58" s="8" t="n"/>
    </row>
    <row r="59">
      <c r="A59" s="4" t="inlineStr"/>
      <c r="B59" s="4" t="inlineStr"/>
      <c r="C59" s="5" t="inlineStr"/>
      <c r="D59" s="5" t="inlineStr"/>
      <c r="E59" s="6" t="inlineStr"/>
      <c r="F59" s="7" t="inlineStr"/>
      <c r="G59" s="5" t="inlineStr"/>
      <c r="H59" s="6">
        <f>IF(AND($E59&lt;&gt;"",$F59&lt;&gt;""),EDATE($E59,$F59),"")</f>
        <v/>
      </c>
      <c r="I59" s="7">
        <f>IF($H59="","",IF($H59&lt;TODAY(),"Expired",IF($H59&lt;=TODAY()+60,"Expiring &lt;60d","Active")))</f>
        <v/>
      </c>
      <c r="J59" s="4" t="n"/>
    </row>
    <row r="60">
      <c r="A60" s="8" t="inlineStr"/>
      <c r="B60" s="8" t="inlineStr"/>
      <c r="C60" s="9" t="inlineStr"/>
      <c r="D60" s="9" t="inlineStr"/>
      <c r="E60" s="10" t="inlineStr"/>
      <c r="F60" s="11" t="inlineStr"/>
      <c r="G60" s="9" t="inlineStr"/>
      <c r="H60" s="10">
        <f>IF(AND($E60&lt;&gt;"",$F60&lt;&gt;""),EDATE($E60,$F60),"")</f>
        <v/>
      </c>
      <c r="I60" s="11">
        <f>IF($H60="","",IF($H60&lt;TODAY(),"Expired",IF($H60&lt;=TODAY()+60,"Expiring &lt;60d","Active")))</f>
        <v/>
      </c>
      <c r="J60" s="8" t="n"/>
    </row>
    <row r="61">
      <c r="A61" s="4" t="inlineStr"/>
      <c r="B61" s="4" t="inlineStr"/>
      <c r="C61" s="5" t="inlineStr"/>
      <c r="D61" s="5" t="inlineStr"/>
      <c r="E61" s="6" t="inlineStr"/>
      <c r="F61" s="7" t="inlineStr"/>
      <c r="G61" s="5" t="inlineStr"/>
      <c r="H61" s="6">
        <f>IF(AND($E61&lt;&gt;"",$F61&lt;&gt;""),EDATE($E61,$F61),"")</f>
        <v/>
      </c>
      <c r="I61" s="7">
        <f>IF($H61="","",IF($H61&lt;TODAY(),"Expired",IF($H61&lt;=TODAY()+60,"Expiring &lt;60d","Active")))</f>
        <v/>
      </c>
      <c r="J61" s="4" t="n"/>
    </row>
    <row r="62">
      <c r="A62" s="8" t="inlineStr"/>
      <c r="B62" s="8" t="inlineStr"/>
      <c r="C62" s="9" t="inlineStr"/>
      <c r="D62" s="9" t="inlineStr"/>
      <c r="E62" s="10" t="inlineStr"/>
      <c r="F62" s="11" t="inlineStr"/>
      <c r="G62" s="9" t="inlineStr"/>
      <c r="H62" s="10">
        <f>IF(AND($E62&lt;&gt;"",$F62&lt;&gt;""),EDATE($E62,$F62),"")</f>
        <v/>
      </c>
      <c r="I62" s="11">
        <f>IF($H62="","",IF($H62&lt;TODAY(),"Expired",IF($H62&lt;=TODAY()+60,"Expiring &lt;60d","Active")))</f>
        <v/>
      </c>
      <c r="J62" s="8" t="n"/>
    </row>
    <row r="63">
      <c r="A63" s="4" t="inlineStr"/>
      <c r="B63" s="4" t="inlineStr"/>
      <c r="C63" s="5" t="inlineStr"/>
      <c r="D63" s="5" t="inlineStr"/>
      <c r="E63" s="6" t="inlineStr"/>
      <c r="F63" s="7" t="inlineStr"/>
      <c r="G63" s="5" t="inlineStr"/>
      <c r="H63" s="6">
        <f>IF(AND($E63&lt;&gt;"",$F63&lt;&gt;""),EDATE($E63,$F63),"")</f>
        <v/>
      </c>
      <c r="I63" s="7">
        <f>IF($H63="","",IF($H63&lt;TODAY(),"Expired",IF($H63&lt;=TODAY()+60,"Expiring &lt;60d","Active")))</f>
        <v/>
      </c>
      <c r="J63" s="4" t="n"/>
    </row>
    <row r="64">
      <c r="A64" s="8" t="inlineStr"/>
      <c r="B64" s="8" t="inlineStr"/>
      <c r="C64" s="9" t="inlineStr"/>
      <c r="D64" s="9" t="inlineStr"/>
      <c r="E64" s="10" t="inlineStr"/>
      <c r="F64" s="11" t="inlineStr"/>
      <c r="G64" s="9" t="inlineStr"/>
      <c r="H64" s="10">
        <f>IF(AND($E64&lt;&gt;"",$F64&lt;&gt;""),EDATE($E64,$F64),"")</f>
        <v/>
      </c>
      <c r="I64" s="11">
        <f>IF($H64="","",IF($H64&lt;TODAY(),"Expired",IF($H64&lt;=TODAY()+60,"Expiring &lt;60d","Active")))</f>
        <v/>
      </c>
      <c r="J64" s="8" t="n"/>
    </row>
  </sheetData>
  <mergeCells count="2">
    <mergeCell ref="A1:J1"/>
    <mergeCell ref="A2:J2"/>
  </mergeCells>
  <conditionalFormatting sqref="I5:I64">
    <cfRule type="cellIs" priority="1" operator="equal" dxfId="0">
      <formula>"Active"</formula>
    </cfRule>
    <cfRule type="cellIs" priority="2" operator="equal" dxfId="1">
      <formula>"Expiring &lt;60d"</formula>
    </cfRule>
    <cfRule type="cellIs" priority="3" operator="equal" dxfId="2">
      <formula>"Expired"</formula>
    </cfRule>
  </conditionalFormatting>
  <conditionalFormatting sqref="A5:J64">
    <cfRule type="expression" priority="4" dxfId="3">
      <formula>AND($I5="Expiring &lt;60d")</formula>
    </cfRule>
  </conditionalFormatting>
  <dataValidations count="1">
    <dataValidation sqref="G5:G64" showDropDown="0" showInputMessage="0" showErrorMessage="0" allowBlank="1" type="list">
      <formula1>"Manufacturer,Workmanship,Extended (Managed Plan)"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</cols>
  <sheetData>
    <row r="1" ht="28" customHeight="1">
      <c r="A1" s="1" t="inlineStr">
        <is>
          <t>Warranty Dashboard</t>
        </is>
      </c>
    </row>
    <row r="3">
      <c r="A3" s="12" t="inlineStr">
        <is>
          <t>Metric</t>
        </is>
      </c>
      <c r="B3" s="13" t="inlineStr">
        <is>
          <t>Count</t>
        </is>
      </c>
    </row>
    <row r="4">
      <c r="A4" s="14" t="inlineStr">
        <is>
          <t>Devices logged</t>
        </is>
      </c>
      <c r="B4" s="15">
        <f>COUNTA('Warranty Log'!$B$5:$B$64)</f>
        <v/>
      </c>
    </row>
    <row r="5">
      <c r="A5" s="14" t="inlineStr">
        <is>
          <t>Active</t>
        </is>
      </c>
      <c r="B5" s="16">
        <f>COUNTIF('Warranty Log'!$I$5:$I$64,"Active")</f>
        <v/>
      </c>
    </row>
    <row r="6">
      <c r="A6" s="14" t="inlineStr">
        <is>
          <t>Expiring &lt; 60 days</t>
        </is>
      </c>
      <c r="B6" s="17">
        <f>COUNTIF('Warranty Log'!$I$5:$I$64,"Expiring &lt;60d")</f>
        <v/>
      </c>
    </row>
    <row r="7">
      <c r="A7" s="14" t="inlineStr">
        <is>
          <t>Expired</t>
        </is>
      </c>
      <c r="B7" s="18">
        <f>COUNTIF('Warranty Log'!$I$5:$I$64,"Expired")</f>
        <v/>
      </c>
    </row>
    <row r="9" ht="30" customHeight="1">
      <c r="A9" s="19" t="inlineStr">
        <is>
          <t>Action: review anything 'Expiring &lt; 60 days' or 'Expired' on the Warranty Log; offer the owner a Managed-Plan renewal or schedule an RMA.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20" t="inlineStr">
        <is>
          <t>How to use this tracker</t>
        </is>
      </c>
    </row>
    <row r="3">
      <c r="A3" s="21" t="inlineStr">
        <is>
          <t>1. One row per installed device on the Warranty Log. Use the same Property/Door label as the install checklist.</t>
        </is>
      </c>
    </row>
    <row r="4">
      <c r="A4" s="21" t="inlineStr">
        <is>
          <t>2. Fill Install date and Term (months). Expiry and Status calculate automatically.</t>
        </is>
      </c>
    </row>
    <row r="5">
      <c r="A5" s="21" t="inlineStr">
        <is>
          <t xml:space="preserve">   • Manufacturer terms (typical): smart locks ~12-24 mo, network/cameras ~12 mo. Confirm per product.</t>
        </is>
      </c>
    </row>
    <row r="6">
      <c r="A6" s="21" t="inlineStr">
        <is>
          <t xml:space="preserve">   • Workmanship: 90 days (enter Term = 3). Extended = while a Managed Plan is active.</t>
        </is>
      </c>
    </row>
    <row r="7">
      <c r="A7" s="21" t="inlineStr">
        <is>
          <t>3. Status colors: green = Active, amber = Expiring within 60 days, red = Expired.</t>
        </is>
      </c>
    </row>
    <row r="8">
      <c r="A8" s="21" t="inlineStr">
        <is>
          <t>4. Log any RMA/service in the notes column (date, issue, ticket #, resolution).</t>
        </is>
      </c>
    </row>
    <row r="9">
      <c r="A9" s="21" t="inlineStr">
        <is>
          <t>5. The Dashboard tab rolls up counts. Review amber/red rows and act (renew plan or open RMA).</t>
        </is>
      </c>
    </row>
    <row r="10">
      <c r="A10" s="21" t="inlineStr">
        <is>
          <t>6. SAMPLE-#### rows are examples — overwrite or delete them before real use.</t>
        </is>
      </c>
    </row>
    <row r="11">
      <c r="A11" s="21" t="inlineStr"/>
    </row>
    <row r="12">
      <c r="A12" s="21" t="inlineStr">
        <is>
          <t>Draft — internal tool. Pair a copy with each property's signed install checklist.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2026-05-31T03:51:43Z</dcterms:created>
  <dcterms:modified xmlns:dcterms="http://purl.org/dc/terms/" xmlns:xsi="http://www.w3.org/2001/XMLSchema-instance" xsi:type="dcterms:W3CDTF">2026-05-31T03:51:43Z</dcterms:modified>
</cp:coreProperties>
</file>