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Dea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9"/>
    </font>
    <font>
      <b val="1"/>
      <color rgb="00002052"/>
      <sz val="11"/>
    </font>
    <font>
      <b val="1"/>
      <color rgb="00FFFFFF"/>
      <sz val="9"/>
    </font>
    <font>
      <b val="1"/>
      <color rgb="00002052"/>
      <sz val="10"/>
    </font>
    <font>
      <b val="1"/>
    </font>
    <font>
      <b val="1"/>
      <color rgb="00002052"/>
      <sz val="12"/>
    </font>
    <font>
      <b val="1"/>
      <color rgb="000099E5"/>
      <sz val="12"/>
    </font>
    <font>
      <i val="1"/>
      <color rgb="00777777"/>
      <sz val="8.5"/>
    </font>
    <font>
      <color rgb="002E7D32"/>
    </font>
    <font>
      <color rgb="001D2733"/>
      <sz val="10"/>
    </font>
    <font>
      <b val="1"/>
      <color rgb="001D2733"/>
      <sz val="11"/>
    </font>
    <font>
      <color rgb="000099E5"/>
      <sz val="10"/>
    </font>
    <font>
      <b val="1"/>
      <color rgb="000099E5"/>
      <sz val="11"/>
    </font>
    <font>
      <i val="1"/>
      <color rgb="00888888"/>
      <sz val="8"/>
    </font>
    <font>
      <color rgb="002E7D32"/>
      <sz val="10"/>
    </font>
    <font>
      <b val="1"/>
      <color rgb="002E7D32"/>
      <sz val="11"/>
    </font>
    <font>
      <color rgb="00002052"/>
      <sz val="10"/>
    </font>
    <font>
      <sz val="10"/>
    </font>
    <font>
      <b val="1"/>
      <sz val="10"/>
    </font>
    <font>
      <b val="1"/>
      <color rgb="002E7D32"/>
    </font>
    <font>
      <i val="1"/>
      <color rgb="00555555"/>
      <sz val="8.5"/>
    </font>
    <font>
      <b val="1"/>
      <color rgb="00FFFFFF"/>
      <sz val="14"/>
    </font>
    <font>
      <color rgb="00333333"/>
      <sz val="10.5"/>
    </font>
  </fonts>
  <fills count="7">
    <fill>
      <patternFill/>
    </fill>
    <fill>
      <patternFill patternType="gray125"/>
    </fill>
    <fill>
      <patternFill patternType="solid">
        <fgColor rgb="00002052"/>
      </patternFill>
    </fill>
    <fill>
      <patternFill patternType="solid">
        <fgColor rgb="00EAF4FB"/>
      </patternFill>
    </fill>
    <fill>
      <patternFill patternType="solid">
        <fgColor rgb="00334E7B"/>
      </patternFill>
    </fill>
    <fill>
      <patternFill patternType="solid">
        <fgColor rgb="00FFF9E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5DAE0"/>
      </left>
      <right style="thin">
        <color rgb="00D5DAE0"/>
      </right>
      <top style="thin">
        <color rgb="00D5DAE0"/>
      </top>
      <bottom style="thin">
        <color rgb="00D5DAE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0" fillId="0" borderId="1" pivotButton="0" quotePrefix="0" xfId="0"/>
    <xf numFmtId="0" fontId="6" fillId="5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0" fontId="5" fillId="6" borderId="1" pivotButton="0" quotePrefix="0" xfId="0"/>
    <xf numFmtId="164" fontId="0" fillId="6" borderId="1" pivotButton="0" quotePrefix="0" xfId="0"/>
    <xf numFmtId="9" fontId="0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right"/>
    </xf>
    <xf numFmtId="165" fontId="10" fillId="6" borderId="1" applyAlignment="1" pivotButton="0" quotePrefix="0" xfId="0">
      <alignment horizontal="right"/>
    </xf>
    <xf numFmtId="0" fontId="6" fillId="0" borderId="0" pivotButton="0" quotePrefix="0" xfId="0"/>
    <xf numFmtId="0" fontId="7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9" fillId="0" borderId="0" pivotButton="0" quotePrefix="0" xfId="0"/>
    <xf numFmtId="0" fontId="11" fillId="0" borderId="1" applyAlignment="1" pivotButton="0" quotePrefix="0" xfId="0">
      <alignment indent="1"/>
    </xf>
    <xf numFmtId="0" fontId="0" fillId="0" borderId="1" pivotButton="0" quotePrefix="0" xfId="0"/>
    <xf numFmtId="165" fontId="12" fillId="0" borderId="1" applyAlignment="1" pivotButton="0" quotePrefix="0" xfId="0">
      <alignment horizontal="right"/>
    </xf>
    <xf numFmtId="0" fontId="5" fillId="0" borderId="1" applyAlignment="1" pivotButton="0" quotePrefix="0" xfId="0">
      <alignment indent="1"/>
    </xf>
    <xf numFmtId="165" fontId="3" fillId="0" borderId="1" applyAlignment="1" pivotButton="0" quotePrefix="0" xfId="0">
      <alignment horizontal="right"/>
    </xf>
    <xf numFmtId="0" fontId="13" fillId="0" borderId="1" applyAlignment="1" pivotButton="0" quotePrefix="0" xfId="0">
      <alignment indent="1"/>
    </xf>
    <xf numFmtId="165" fontId="14" fillId="0" borderId="1" applyAlignment="1" pivotButton="0" quotePrefix="0" xfId="0">
      <alignment horizontal="right"/>
    </xf>
    <xf numFmtId="0" fontId="15" fillId="0" borderId="1" pivotButton="0" quotePrefix="0" xfId="0"/>
    <xf numFmtId="0" fontId="16" fillId="0" borderId="1" applyAlignment="1" pivotButton="0" quotePrefix="0" xfId="0">
      <alignment indent="1"/>
    </xf>
    <xf numFmtId="165" fontId="17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0" fontId="18" fillId="0" borderId="1" applyAlignment="1" pivotButton="0" quotePrefix="0" xfId="0">
      <alignment indent="1"/>
    </xf>
    <xf numFmtId="164" fontId="3" fillId="0" borderId="1" applyAlignment="1" pivotButton="0" quotePrefix="0" xfId="0">
      <alignment horizontal="right"/>
    </xf>
    <xf numFmtId="0" fontId="19" fillId="0" borderId="0" pivotButton="0" quotePrefix="0" xfId="0"/>
    <xf numFmtId="0" fontId="20" fillId="0" borderId="0" pivotButton="0" quotePrefix="0" xfId="0"/>
    <xf numFmtId="0" fontId="21" fillId="0" borderId="1" applyAlignment="1" pivotButton="0" quotePrefix="0" xfId="0">
      <alignment horizontal="center"/>
    </xf>
    <xf numFmtId="9" fontId="21" fillId="0" borderId="1" applyAlignment="1" pivotButton="0" quotePrefix="0" xfId="0">
      <alignment horizontal="center"/>
    </xf>
    <xf numFmtId="0" fontId="22" fillId="0" borderId="0" pivotButton="0" quotePrefix="0" xfId="0"/>
    <xf numFmtId="0" fontId="23" fillId="2" borderId="0" applyAlignment="1" pivotButton="0" quotePrefix="0" xfId="0">
      <alignment vertical="center" indent="1"/>
    </xf>
    <xf numFmtId="0" fontId="24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1" t="inlineStr">
        <is>
          <t>JAMIESON AUTOMATION — PM Volume-Deal Calculator</t>
        </is>
      </c>
    </row>
    <row r="2" ht="20" customHeight="1">
      <c r="A2" s="2" t="inlineStr">
        <is>
          <t>Enter door quantities (yellow). Volume break &amp; managed rate auto-apply by total doors. Everything else calculates.</t>
        </is>
      </c>
    </row>
    <row r="4">
      <c r="A4" s="3" t="inlineStr">
        <is>
          <t>1 · Door mix (enter quantities)</t>
        </is>
      </c>
    </row>
    <row r="5" ht="26" customHeight="1">
      <c r="A5" s="4" t="inlineStr">
        <is>
          <t>Package</t>
        </is>
      </c>
      <c r="B5" s="4" t="inlineStr">
        <is>
          <t>List / door</t>
        </is>
      </c>
      <c r="C5" s="4" t="inlineStr">
        <is>
          <t>Qty</t>
        </is>
      </c>
      <c r="D5" s="4" t="inlineStr">
        <is>
          <t>Volume break</t>
        </is>
      </c>
      <c r="E5" s="4" t="inlineStr">
        <is>
          <t>Deal / door</t>
        </is>
      </c>
      <c r="F5" s="4" t="inlineStr">
        <is>
          <t>Line total</t>
        </is>
      </c>
      <c r="G5" s="4" t="inlineStr">
        <is>
          <t>Hardware margin</t>
        </is>
      </c>
    </row>
    <row r="6">
      <c r="A6" s="5" t="inlineStr">
        <is>
          <t>Essentials</t>
        </is>
      </c>
      <c r="B6" s="6" t="n">
        <v>1300</v>
      </c>
      <c r="C6" s="7" t="n">
        <v>3</v>
      </c>
      <c r="D6" s="8">
        <f>C12</f>
        <v/>
      </c>
      <c r="E6" s="9">
        <f>B6*(1-C12)</f>
        <v/>
      </c>
      <c r="F6" s="9">
        <f>E6*C6</f>
        <v/>
      </c>
      <c r="G6" s="10">
        <f>131.5*C6</f>
        <v/>
      </c>
    </row>
    <row r="7">
      <c r="A7" s="11" t="inlineStr">
        <is>
          <t>Plus</t>
        </is>
      </c>
      <c r="B7" s="12" t="n">
        <v>3534</v>
      </c>
      <c r="C7" s="7" t="n">
        <v>4</v>
      </c>
      <c r="D7" s="13">
        <f>C12</f>
        <v/>
      </c>
      <c r="E7" s="14">
        <f>B7*(1-C12)</f>
        <v/>
      </c>
      <c r="F7" s="14">
        <f>E7*C7</f>
        <v/>
      </c>
      <c r="G7" s="15">
        <f>367.5*C7</f>
        <v/>
      </c>
    </row>
    <row r="8">
      <c r="A8" s="5" t="inlineStr">
        <is>
          <t>Pro</t>
        </is>
      </c>
      <c r="B8" s="6" t="n">
        <v>6202</v>
      </c>
      <c r="C8" s="7" t="n">
        <v>1</v>
      </c>
      <c r="D8" s="8">
        <f>C12</f>
        <v/>
      </c>
      <c r="E8" s="9">
        <f>B8*(1-C12)</f>
        <v/>
      </c>
      <c r="F8" s="9">
        <f>E8*C8</f>
        <v/>
      </c>
      <c r="G8" s="10">
        <f>552.4*C8</f>
        <v/>
      </c>
    </row>
    <row r="10">
      <c r="A10" s="3" t="inlineStr">
        <is>
          <t>2 · Volume tier (auto)</t>
        </is>
      </c>
    </row>
    <row r="11">
      <c r="A11" s="16" t="inlineStr">
        <is>
          <t>Total committed doors</t>
        </is>
      </c>
      <c r="C11" s="17">
        <f>SUM(C6:C8)</f>
        <v/>
      </c>
    </row>
    <row r="12">
      <c r="A12" s="16" t="inlineStr">
        <is>
          <t>Volume break applied</t>
        </is>
      </c>
      <c r="C12" s="18">
        <f>IF(C11&gt;=11,0.12,IF(C11&gt;=6,0.08,IF(C11&gt;=3,0.05,0)))</f>
        <v/>
      </c>
    </row>
    <row r="13">
      <c r="A13" s="16" t="inlineStr">
        <is>
          <t>Managed plan rate / home / mo</t>
        </is>
      </c>
      <c r="C13" s="19">
        <f>IF(C11&gt;=11,55,IF(C11&gt;=6,65,75))</f>
        <v/>
      </c>
    </row>
    <row r="14">
      <c r="A14" s="20" t="inlineStr">
        <is>
          <t>Tiers: 3-5 doors 5% · 6-10 doors 8% · 11+ doors 12%.  Managed: 1-5 $75, 6-10 $65, 11+ $55/mo.</t>
        </is>
      </c>
    </row>
    <row r="16">
      <c r="A16" s="3" t="inlineStr">
        <is>
          <t>3 · Deal summary</t>
        </is>
      </c>
    </row>
    <row r="17">
      <c r="A17" s="21" t="inlineStr">
        <is>
          <t>Install — list total</t>
        </is>
      </c>
      <c r="B17" s="22" t="n"/>
      <c r="C17" s="22" t="n"/>
      <c r="D17" s="22" t="n"/>
      <c r="E17" s="23">
        <f>SUMPRODUCT(B6:B8,C6:C8)</f>
        <v/>
      </c>
      <c r="F17" s="22" t="n"/>
      <c r="G17" s="22" t="n"/>
    </row>
    <row r="18">
      <c r="A18" s="24" t="inlineStr">
        <is>
          <t>Install — deal total (after volume break)</t>
        </is>
      </c>
      <c r="B18" s="22" t="n"/>
      <c r="C18" s="22" t="n"/>
      <c r="D18" s="22" t="n"/>
      <c r="E18" s="25">
        <f>SUM(F6:F8)</f>
        <v/>
      </c>
      <c r="F18" s="22" t="n"/>
      <c r="G18" s="22" t="n"/>
    </row>
    <row r="19">
      <c r="A19" s="26" t="inlineStr">
        <is>
          <t>PM saves (volume discount)</t>
        </is>
      </c>
      <c r="B19" s="22" t="n"/>
      <c r="C19" s="22" t="n"/>
      <c r="D19" s="22" t="n"/>
      <c r="E19" s="27">
        <f>SUMPRODUCT(B6:B8,C6:C8)-SUM(F6:F8)</f>
        <v/>
      </c>
      <c r="F19" s="22" t="n"/>
      <c r="G19" s="28" t="inlineStr">
        <is>
          <t>the number you show the PM</t>
        </is>
      </c>
    </row>
    <row r="20">
      <c r="A20" s="29" t="inlineStr">
        <is>
          <t>Hardware margin (preserved)</t>
        </is>
      </c>
      <c r="B20" s="22" t="n"/>
      <c r="C20" s="22" t="n"/>
      <c r="D20" s="22" t="n"/>
      <c r="E20" s="30">
        <f>SUM(G6:G8)</f>
        <v/>
      </c>
      <c r="F20" s="22" t="n"/>
      <c r="G20" s="28" t="inlineStr">
        <is>
          <t>hw billed cost+markup; discount funded by batching</t>
        </is>
      </c>
    </row>
    <row r="21">
      <c r="A21" s="21" t="inlineStr">
        <is>
          <t>Recurring — per month</t>
        </is>
      </c>
      <c r="B21" s="22" t="n"/>
      <c r="C21" s="22" t="n"/>
      <c r="D21" s="22" t="n"/>
      <c r="E21" s="31">
        <f>C11*C13</f>
        <v/>
      </c>
      <c r="F21" s="22" t="n"/>
      <c r="G21" s="22" t="n"/>
    </row>
    <row r="22">
      <c r="A22" s="32" t="inlineStr">
        <is>
          <t>Recurring — per year</t>
        </is>
      </c>
      <c r="B22" s="22" t="n"/>
      <c r="C22" s="22" t="n"/>
      <c r="D22" s="22" t="n"/>
      <c r="E22" s="33">
        <f>C11*C13*12</f>
        <v/>
      </c>
      <c r="F22" s="22" t="n"/>
      <c r="G22" s="28" t="inlineStr">
        <is>
          <t>renews; the real prize</t>
        </is>
      </c>
    </row>
    <row r="23">
      <c r="A23" s="24" t="inlineStr">
        <is>
          <t>First-year relationship value</t>
        </is>
      </c>
      <c r="B23" s="22" t="n"/>
      <c r="C23" s="22" t="n"/>
      <c r="D23" s="22" t="n"/>
      <c r="E23" s="33">
        <f>SUM(F6:F8)+C11*C13*12</f>
        <v/>
      </c>
      <c r="F23" s="22" t="n"/>
      <c r="G23" s="28" t="inlineStr">
        <is>
          <t>install + 12 mo recurring, from ONE sale</t>
        </is>
      </c>
    </row>
    <row r="25">
      <c r="A25" s="3" t="inlineStr">
        <is>
          <t>4 · The time lever — 1 PM vs chasing single owners</t>
        </is>
      </c>
    </row>
    <row r="26">
      <c r="A26" s="34" t="inlineStr">
        <is>
          <t>Hrs/owner if sold one-off (edit)</t>
        </is>
      </c>
      <c r="C26" s="7" t="n">
        <v>5</v>
      </c>
    </row>
    <row r="27">
      <c r="A27" s="34" t="inlineStr">
        <is>
          <t>Hrs to land the PM (edit)</t>
        </is>
      </c>
      <c r="C27" s="7" t="n">
        <v>10</v>
      </c>
    </row>
    <row r="28">
      <c r="A28" s="35" t="inlineStr">
        <is>
          <t>Acquisition hrs saved</t>
        </is>
      </c>
      <c r="C28" s="36">
        <f>(C11*C26)-C27</f>
        <v/>
      </c>
    </row>
    <row r="29">
      <c r="A29" s="34" t="inlineStr">
        <is>
          <t>…as % less selling time</t>
        </is>
      </c>
      <c r="C29" s="37">
        <f>IF(C11*C26=0,0,1-C27/(C11*C26))</f>
        <v/>
      </c>
    </row>
    <row r="30">
      <c r="A30" s="38" t="inlineStr">
        <is>
          <t>Same doors, a fraction of Ray's scarce selling time — and the PM is a renewable channel: next season's doors arrive at ~0 acquisition cost.</t>
        </is>
      </c>
    </row>
  </sheetData>
  <mergeCells count="22">
    <mergeCell ref="A14:G14"/>
    <mergeCell ref="A17:D17"/>
    <mergeCell ref="A23:D23"/>
    <mergeCell ref="A22:D22"/>
    <mergeCell ref="A20:D20"/>
    <mergeCell ref="A4:G4"/>
    <mergeCell ref="E23:F23"/>
    <mergeCell ref="A19:D19"/>
    <mergeCell ref="E17:F17"/>
    <mergeCell ref="A10:G10"/>
    <mergeCell ref="E20:F20"/>
    <mergeCell ref="E19:F19"/>
    <mergeCell ref="A30:G30"/>
    <mergeCell ref="A1:G1"/>
    <mergeCell ref="A16:G16"/>
    <mergeCell ref="A25:G25"/>
    <mergeCell ref="A18:D18"/>
    <mergeCell ref="A21:D21"/>
    <mergeCell ref="A2:G2"/>
    <mergeCell ref="E22:F22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39" t="inlineStr">
        <is>
          <t>How this calculator works</t>
        </is>
      </c>
    </row>
    <row r="3" ht="30" customHeight="1">
      <c r="A3" s="40" t="inlineStr">
        <is>
          <t>• Enter door quantities per package in the yellow cells. Total doors drives the volume break and managed rate automatically.</t>
        </is>
      </c>
    </row>
    <row r="4" ht="30" customHeight="1">
      <c r="A4" s="40" t="inlineStr">
        <is>
          <t>• Volume break: 3-5 doors = 5% off, 6-10 = 8%, 11+ = 12% (off the installed per-door list price).</t>
        </is>
      </c>
    </row>
    <row r="5" ht="30" customHeight="1">
      <c r="A5" s="40" t="inlineStr">
        <is>
          <t>• Managed plan: 1-5 doors $75/mo/home, 6-10 $65, 11+ $55.</t>
        </is>
      </c>
    </row>
    <row r="6" ht="30" customHeight="1">
      <c r="A6" s="40" t="inlineStr">
        <is>
          <t>• List prices are the clean per-door package prices (Essentials $1,300 / Plus $3,534 / Pro $6,202) from the BOM &amp; proposal.</t>
        </is>
      </c>
    </row>
    <row r="7" ht="30" customHeight="1">
      <c r="A7" s="40" t="inlineStr">
        <is>
          <t>• Hardware margin column stays positive because hardware is always billed cost + markup; the volume discount is funded by BATCHING efficiency (one mobilization, amortized travel), not by cutting the build.</t>
        </is>
      </c>
    </row>
    <row r="8" ht="30" customHeight="1">
      <c r="A8" s="40" t="inlineStr">
        <is>
          <t>• First-year relationship value = deal install total + 12 months of recurring, from one sale. The recurring renews — that's the channel's compounding value.</t>
        </is>
      </c>
    </row>
    <row r="9" ht="30" customHeight="1">
      <c r="A9" s="40" t="inlineStr">
        <is>
          <t>• Time lever: edit the two yellow assumptions to your real numbers. It shows how much of Ray's scarce selling time a PM saves vs chasing each owner.</t>
        </is>
      </c>
    </row>
    <row r="10" ht="30" customHeight="1">
      <c r="A10" s="40" t="inlineStr">
        <is>
          <t>• Draft tool. Volume breaks and time assumptions are starting points — tune to taste. Never discount below the point where hardware margin + batched labor clears your floor.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2026-05-31T06:15:59Z</dcterms:created>
  <dcterms:modified xmlns:dcterms="http://purl.org/dc/terms/" xmlns:xsi="http://www.w3.org/2001/XMLSchema-instance" xsi:type="dcterms:W3CDTF">2026-05-31T06:15:59Z</dcterms:modified>
</cp:coreProperties>
</file>