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  <sheet name="Pricing" sheetId="2" state="hidden" r:id="rId4"/>
  </sheets>
  <definedNames>
    <definedName function="false" hidden="false" localSheetId="0" name="_xlnm.Print_Area" vbProcedure="false">Quote!$A$1:$F$32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<sst xmlns="http://schemas.openxmlformats.org/spreadsheetml/2006/main" count="60" uniqueCount="42">
  <si>
    <t xml:space="preserve">SERVICE QUOTE</t>
  </si>
  <si>
    <t xml:space="preserve">(252) 564-8717  -  contact@obxlotsolutions.com  -  obxlotsolutions.com</t>
  </si>
  <si>
    <t xml:space="preserve">Prepared for:</t>
  </si>
  <si>
    <t xml:space="preserve">Date:</t>
  </si>
  <si>
    <t xml:space="preserve">Property / address:</t>
  </si>
  <si>
    <t xml:space="preserve">Prepared by:</t>
  </si>
  <si>
    <t xml:space="preserve">Ray - OBX Lot Solutions</t>
  </si>
  <si>
    <t xml:space="preserve">Service</t>
  </si>
  <si>
    <t xml:space="preserve">Size / detail</t>
  </si>
  <si>
    <t xml:space="preserve">Unit price</t>
  </si>
  <si>
    <t xml:space="preserve">Qty</t>
  </si>
  <si>
    <t xml:space="preserve">Line total</t>
  </si>
  <si>
    <t xml:space="preserve">Subtotal</t>
  </si>
  <si>
    <t xml:space="preserve">Recurring service?  (Yes = 20% off)</t>
  </si>
  <si>
    <t xml:space="preserve">No</t>
  </si>
  <si>
    <t xml:space="preserve">Recurring discount (20%)</t>
  </si>
  <si>
    <t xml:space="preserve">TOTAL</t>
  </si>
  <si>
    <t xml:space="preserve">Notes:</t>
  </si>
  <si>
    <t xml:space="preserve">Blue cells = you fill in (Qty, recurring Yes/No). Prices auto-fill when you pick a service. 'from' prices are minimums - bump for larger jobs.</t>
  </si>
  <si>
    <t xml:space="preserve">Unit</t>
  </si>
  <si>
    <t xml:space="preserve">Parking-lot cleanup (from)</t>
  </si>
  <si>
    <t xml:space="preserve">flat</t>
  </si>
  <si>
    <t xml:space="preserve">Storefront &amp; walkway cleanup (from)</t>
  </si>
  <si>
    <t xml:space="preserve">Dumpster-area cleanup</t>
  </si>
  <si>
    <t xml:space="preserve">Roadside cleanup (from)</t>
  </si>
  <si>
    <t xml:space="preserve">Junk removal (quote - enter price)</t>
  </si>
  <si>
    <t xml:space="preserve">manual</t>
  </si>
  <si>
    <t xml:space="preserve">Event cleanup (quote - enter price)</t>
  </si>
  <si>
    <t xml:space="preserve">Power wash - driveway, small</t>
  </si>
  <si>
    <t xml:space="preserve">Power wash - driveway, medium</t>
  </si>
  <si>
    <t xml:space="preserve">Power wash - driveway, large</t>
  </si>
  <si>
    <t xml:space="preserve">Power wash - house, 1-story &lt;=1500 sqft</t>
  </si>
  <si>
    <t xml:space="preserve">Power wash - house, &lt;=2500 sqft</t>
  </si>
  <si>
    <t xml:space="preserve">Power wash - house, 2-story 2500-3500</t>
  </si>
  <si>
    <t xml:space="preserve">Power wash - deck/patio (from)</t>
  </si>
  <si>
    <t xml:space="preserve">Power wash - dumpster pad</t>
  </si>
  <si>
    <t xml:space="preserve">Power wash - storefront/sidewalk (from)</t>
  </si>
  <si>
    <t xml:space="preserve">Window wash - residential, exterior (per window)</t>
  </si>
  <si>
    <t xml:space="preserve">per window</t>
  </si>
  <si>
    <t xml:space="preserve">Window wash - residential, int+ext (per window)</t>
  </si>
  <si>
    <t xml:space="preserve">Window wash - storefront/commercial (from)</t>
  </si>
  <si>
    <t xml:space="preserve">Window wash - 2nd floor add (per window)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</si>
</sst>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;\-"/>
    <numFmt numFmtId="166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B2A4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B2A4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E"/>
        <bgColor rgb="FF003366"/>
      </patternFill>
    </fill>
    <fill>
      <patternFill patternType="solid">
        <fgColor rgb="FFF0F6E4"/>
        <bgColor rgb="FFFFFFFF"/>
      </patternFill>
    </fill>
    <fill>
      <patternFill patternType="solid">
        <fgColor rgb="FF8BC34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E"/>
      </bottom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6E4"/>
      <rgbColor rgb="FFCCFFFF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752040</xdr:colOff>
      <xdr:row>1</xdr:row>
      <xdr:rowOff>495000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00160"/>
          <a:ext cx="752040" cy="49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2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2</v>
      </c>
      <c r="B6" s="5"/>
      <c r="C6" s="5"/>
      <c r="D6" s="4" t="s">
        <v>3</v>
      </c>
      <c r="E6" s="5"/>
    </row>
    <row r="7" customFormat="false" ht="15" hidden="false" customHeight="false" outlineLevel="0" collapsed="false">
      <c r="A7" s="4" t="s">
        <v>4</v>
      </c>
      <c r="B7" s="5"/>
      <c r="C7" s="5"/>
      <c r="D7" s="4" t="s">
        <v>5</v>
      </c>
      <c r="E7" s="6" t="s">
        <v>6</v>
      </c>
    </row>
    <row r="9" customFormat="false" ht="21.75" hidden="false" customHeight="true" outlineLevel="0" collapsed="false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/>
    </row>
    <row r="10" customFormat="false" ht="15" hidden="false" customHeight="false" outlineLevel="0" collapsed="false">
      <c r="A10" s="8"/>
      <c r="B10" s="8"/>
      <c r="C10" s="9" t="str">
        <f aca="false">IF($A10="","",IFERROR(VLOOKUP($A10,Pricing!$A:$B,2,FALSE()),0))</f>
        <v/>
      </c>
      <c r="D10" s="10"/>
      <c r="E10" s="11" t="str">
        <f aca="false">IF($A10="","",IFERROR($C10*IF($D10="",1,$D10),0))</f>
        <v/>
      </c>
    </row>
    <row r="11" customFormat="false" ht="15" hidden="false" customHeight="false" outlineLevel="0" collapsed="false">
      <c r="A11" s="12"/>
      <c r="B11" s="12"/>
      <c r="C11" s="13" t="str">
        <f aca="false">IF($A11="","",IFERROR(VLOOKUP($A11,Pricing!$A:$B,2,FALSE()),0))</f>
        <v/>
      </c>
      <c r="D11" s="14"/>
      <c r="E11" s="15" t="str">
        <f aca="false">IF($A11="","",IFERROR($C11*IF($D11="",1,$D11),0))</f>
        <v/>
      </c>
    </row>
    <row r="12" customFormat="false" ht="15" hidden="false" customHeight="false" outlineLevel="0" collapsed="false">
      <c r="A12" s="8"/>
      <c r="B12" s="8"/>
      <c r="C12" s="9" t="str">
        <f aca="false">IF($A12="","",IFERROR(VLOOKUP($A12,Pricing!$A:$B,2,FALSE()),0))</f>
        <v/>
      </c>
      <c r="D12" s="10"/>
      <c r="E12" s="11" t="str">
        <f aca="false">IF($A12="","",IFERROR($C12*IF($D12="",1,$D12),0))</f>
        <v/>
      </c>
    </row>
    <row r="13" customFormat="false" ht="15" hidden="false" customHeight="false" outlineLevel="0" collapsed="false">
      <c r="A13" s="12"/>
      <c r="B13" s="12"/>
      <c r="C13" s="13" t="str">
        <f aca="false">IF($A13="","",IFERROR(VLOOKUP($A13,Pricing!$A:$B,2,FALSE()),0))</f>
        <v/>
      </c>
      <c r="D13" s="14"/>
      <c r="E13" s="15" t="str">
        <f aca="false">IF($A13="","",IFERROR($C13*IF($D13="",1,$D13),0))</f>
        <v/>
      </c>
    </row>
    <row r="14" customFormat="false" ht="15" hidden="false" customHeight="false" outlineLevel="0" collapsed="false">
      <c r="A14" s="8"/>
      <c r="B14" s="8"/>
      <c r="C14" s="9" t="str">
        <f aca="false">IF($A14="","",IFERROR(VLOOKUP($A14,Pricing!$A:$B,2,FALSE()),0))</f>
        <v/>
      </c>
      <c r="D14" s="10"/>
      <c r="E14" s="11" t="str">
        <f aca="false">IF($A14="","",IFERROR($C14*IF($D14="",1,$D14),0))</f>
        <v/>
      </c>
    </row>
    <row r="15" customFormat="false" ht="15" hidden="false" customHeight="false" outlineLevel="0" collapsed="false">
      <c r="A15" s="12"/>
      <c r="B15" s="12"/>
      <c r="C15" s="13" t="str">
        <f aca="false">IF($A15="","",IFERROR(VLOOKUP($A15,Pricing!$A:$B,2,FALSE()),0))</f>
        <v/>
      </c>
      <c r="D15" s="14"/>
      <c r="E15" s="15" t="str">
        <f aca="false">IF($A15="","",IFERROR($C15*IF($D15="",1,$D15),0))</f>
        <v/>
      </c>
    </row>
    <row r="16" customFormat="false" ht="15" hidden="false" customHeight="false" outlineLevel="0" collapsed="false">
      <c r="A16" s="8"/>
      <c r="B16" s="8"/>
      <c r="C16" s="9" t="str">
        <f aca="false">IF($A16="","",IFERROR(VLOOKUP($A16,Pricing!$A:$B,2,FALSE()),0))</f>
        <v/>
      </c>
      <c r="D16" s="10"/>
      <c r="E16" s="11" t="str">
        <f aca="false">IF($A16="","",IFERROR($C16*IF($D16="",1,$D16),0))</f>
        <v/>
      </c>
    </row>
    <row r="17" customFormat="false" ht="15" hidden="false" customHeight="false" outlineLevel="0" collapsed="false">
      <c r="A17" s="12"/>
      <c r="B17" s="12"/>
      <c r="C17" s="13" t="str">
        <f aca="false">IF($A17="","",IFERROR(VLOOKUP($A17,Pricing!$A:$B,2,FALSE()),0))</f>
        <v/>
      </c>
      <c r="D17" s="14"/>
      <c r="E17" s="15" t="str">
        <f aca="false">IF($A17="","",IFERROR($C17*IF($D17="",1,$D17),0))</f>
        <v/>
      </c>
    </row>
    <row r="18" customFormat="false" ht="15" hidden="false" customHeight="false" outlineLevel="0" collapsed="false">
      <c r="A18" s="8"/>
      <c r="B18" s="8"/>
      <c r="C18" s="9" t="str">
        <f aca="false">IF($A18="","",IFERROR(VLOOKUP($A18,Pricing!$A:$B,2,FALSE()),0))</f>
        <v/>
      </c>
      <c r="D18" s="10"/>
      <c r="E18" s="11" t="str">
        <f aca="false">IF($A18="","",IFERROR($C18*IF($D18="",1,$D18),0))</f>
        <v/>
      </c>
    </row>
    <row r="19" customFormat="false" ht="15" hidden="false" customHeight="false" outlineLevel="0" collapsed="false">
      <c r="A19" s="12"/>
      <c r="B19" s="12"/>
      <c r="C19" s="13" t="str">
        <f aca="false">IF($A19="","",IFERROR(VLOOKUP($A19,Pricing!$A:$B,2,FALSE()),0))</f>
        <v/>
      </c>
      <c r="D19" s="14"/>
      <c r="E19" s="15" t="str">
        <f aca="false">IF($A19="","",IFERROR($C19*IF($D19="",1,$D19),0))</f>
        <v/>
      </c>
    </row>
    <row r="20" customFormat="false" ht="15" hidden="false" customHeight="false" outlineLevel="0" collapsed="false">
      <c r="A20" s="8"/>
      <c r="B20" s="8"/>
      <c r="C20" s="9" t="str">
        <f aca="false">IF($A20="","",IFERROR(VLOOKUP($A20,Pricing!$A:$B,2,FALSE()),0))</f>
        <v/>
      </c>
      <c r="D20" s="10"/>
      <c r="E20" s="11" t="str">
        <f aca="false">IF($A20="","",IFERROR($C20*IF($D20="",1,$D20),0))</f>
        <v/>
      </c>
    </row>
    <row r="21" customFormat="false" ht="15" hidden="false" customHeight="false" outlineLevel="0" collapsed="false">
      <c r="A21" s="12"/>
      <c r="B21" s="12"/>
      <c r="C21" s="13" t="str">
        <f aca="false">IF($A21="","",IFERROR(VLOOKUP($A21,Pricing!$A:$B,2,FALSE()),0))</f>
        <v/>
      </c>
      <c r="D21" s="14"/>
      <c r="E21" s="15" t="str">
        <f aca="false">IF($A21="","",IFERROR($C21*IF($D21="",1,$D21),0))</f>
        <v/>
      </c>
    </row>
    <row r="22" customFormat="false" ht="15" hidden="false" customHeight="false" outlineLevel="0" collapsed="false">
      <c r="A22" s="16" t="s">
        <v>12</v>
      </c>
      <c r="B22" s="16"/>
      <c r="C22" s="16"/>
      <c r="D22" s="17"/>
      <c r="E22" s="18" t="n">
        <f aca="false">SUM(E10:E21)</f>
        <v>0</v>
      </c>
    </row>
    <row r="23" customFormat="false" ht="15" hidden="false" customHeight="false" outlineLevel="0" collapsed="false">
      <c r="A23" s="19" t="s">
        <v>13</v>
      </c>
      <c r="B23" s="19"/>
      <c r="C23" s="19"/>
      <c r="E23" s="20" t="s">
        <v>14</v>
      </c>
    </row>
    <row r="24" customFormat="false" ht="15" hidden="false" customHeight="false" outlineLevel="0" collapsed="false">
      <c r="A24" s="21" t="s">
        <v>15</v>
      </c>
      <c r="B24" s="21"/>
      <c r="C24" s="21"/>
      <c r="D24" s="17"/>
      <c r="E24" s="22" t="n">
        <f aca="false">IF(E23="Yes",E22*0.2,0)</f>
        <v>0</v>
      </c>
    </row>
    <row r="25" customFormat="false" ht="16.15" hidden="false" customHeight="false" outlineLevel="0" collapsed="false">
      <c r="A25" s="23" t="s">
        <v>16</v>
      </c>
      <c r="B25" s="23"/>
      <c r="C25" s="23"/>
      <c r="D25" s="24"/>
      <c r="E25" s="25" t="n">
        <f aca="false">E22-E24</f>
        <v>0</v>
      </c>
    </row>
    <row r="27" customFormat="false" ht="15" hidden="false" customHeight="false" outlineLevel="0" collapsed="false">
      <c r="A27" s="4" t="s">
        <v>17</v>
      </c>
    </row>
    <row r="28" customFormat="false" ht="15" hidden="false" customHeight="false" outlineLevel="0" collapsed="false">
      <c r="A28" s="5"/>
      <c r="B28" s="5"/>
      <c r="C28" s="5"/>
      <c r="D28" s="5"/>
      <c r="E28" s="5"/>
    </row>
    <row r="29" customFormat="false" ht="15" hidden="false" customHeight="false" outlineLevel="0" collapsed="false">
      <c r="A29" s="5"/>
      <c r="B29" s="5"/>
      <c r="C29" s="5"/>
      <c r="D29" s="5"/>
      <c r="E29" s="5"/>
    </row>
    <row r="30" customFormat="false" ht="15" hidden="false" customHeight="false" outlineLevel="0" collapsed="false">
      <c r="A30" s="5"/>
      <c r="B30" s="5"/>
      <c r="C30" s="5"/>
      <c r="D30" s="5"/>
      <c r="E30" s="5"/>
    </row>
    <row r="32" customFormat="false" ht="15" hidden="false" customHeight="false" outlineLevel="0" collapsed="false">
      <c r="A32" s="26" t="s">
        <v>18</v>
      </c>
      <c r="B32" s="26"/>
      <c r="C32" s="26"/>
      <c r="D32" s="26"/>
      <c r="E32" s="26"/>
    </row>
  </sheetData>
  <mergeCells count="10">
    <mergeCell ref="A2:F2"/>
    <mergeCell ref="A4:F4"/>
    <mergeCell ref="A22:C22"/>
    <mergeCell ref="A23:C23"/>
    <mergeCell ref="A24:C24"/>
    <mergeCell ref="A25:C25"/>
    <mergeCell ref="A28:E28"/>
    <mergeCell ref="A29:E29"/>
    <mergeCell ref="A30:E30"/>
    <mergeCell ref="A32:E32"/>
  </mergeCells>
  <dataValidations count="2">
    <dataValidation allowBlank="true" errorStyle="stop" operator="between" showDropDown="false" showErrorMessage="false" showInputMessage="false" sqref="A10:A21" type="list">
      <formula1>Pricing!$A$2:$A$20</formula1>
      <formula2>0</formula2>
    </dataValidation>
    <dataValidation allowBlank="true" errorStyle="stop" operator="between" showDropDown="false" showErrorMessage="false" showInputMessage="false" sqref="E23" type="list">
      <formula1>"Yes,No"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27" t="s">
        <v>7</v>
      </c>
      <c r="B1" s="27" t="s">
        <v>9</v>
      </c>
      <c r="C1" s="27" t="s">
        <v>19</v>
      </c>
    </row>
    <row r="2" customFormat="false" ht="15" hidden="false" customHeight="false" outlineLevel="0" collapsed="false">
      <c r="A2" s="0" t="s">
        <v>20</v>
      </c>
      <c r="B2" s="28" t="n">
        <v>79</v>
      </c>
      <c r="C2" s="0" t="s">
        <v>21</v>
      </c>
    </row>
    <row r="3" customFormat="false" ht="15" hidden="false" customHeight="false" outlineLevel="0" collapsed="false">
      <c r="A3" s="0" t="s">
        <v>22</v>
      </c>
      <c r="B3" s="28" t="n">
        <v>59</v>
      </c>
      <c r="C3" s="0" t="s">
        <v>21</v>
      </c>
    </row>
    <row r="4" customFormat="false" ht="15" hidden="false" customHeight="false" outlineLevel="0" collapsed="false">
      <c r="A4" s="0" t="s">
        <v>23</v>
      </c>
      <c r="B4" s="28" t="n">
        <v>59</v>
      </c>
      <c r="C4" s="0" t="s">
        <v>21</v>
      </c>
    </row>
    <row r="5" customFormat="false" ht="15" hidden="false" customHeight="false" outlineLevel="0" collapsed="false">
      <c r="A5" s="0" t="s">
        <v>24</v>
      </c>
      <c r="B5" s="28" t="n">
        <v>129</v>
      </c>
      <c r="C5" s="0" t="s">
        <v>21</v>
      </c>
    </row>
    <row r="6" customFormat="false" ht="15" hidden="false" customHeight="false" outlineLevel="0" collapsed="false">
      <c r="A6" s="0" t="s">
        <v>25</v>
      </c>
      <c r="B6" s="28" t="n">
        <v>0</v>
      </c>
      <c r="C6" s="0" t="s">
        <v>26</v>
      </c>
    </row>
    <row r="7" customFormat="false" ht="15" hidden="false" customHeight="false" outlineLevel="0" collapsed="false">
      <c r="A7" s="0" t="s">
        <v>27</v>
      </c>
      <c r="B7" s="28" t="n">
        <v>0</v>
      </c>
      <c r="C7" s="0" t="s">
        <v>26</v>
      </c>
    </row>
    <row r="8" customFormat="false" ht="15" hidden="false" customHeight="false" outlineLevel="0" collapsed="false">
      <c r="A8" s="0" t="s">
        <v>28</v>
      </c>
      <c r="B8" s="28" t="n">
        <v>99</v>
      </c>
      <c r="C8" s="0" t="s">
        <v>21</v>
      </c>
    </row>
    <row r="9" customFormat="false" ht="15" hidden="false" customHeight="false" outlineLevel="0" collapsed="false">
      <c r="A9" s="0" t="s">
        <v>29</v>
      </c>
      <c r="B9" s="28" t="n">
        <v>149</v>
      </c>
      <c r="C9" s="0" t="s">
        <v>21</v>
      </c>
    </row>
    <row r="10" customFormat="false" ht="15" hidden="false" customHeight="false" outlineLevel="0" collapsed="false">
      <c r="A10" s="0" t="s">
        <v>30</v>
      </c>
      <c r="B10" s="28" t="n">
        <v>199</v>
      </c>
      <c r="C10" s="0" t="s">
        <v>21</v>
      </c>
    </row>
    <row r="11" customFormat="false" ht="15" hidden="false" customHeight="false" outlineLevel="0" collapsed="false">
      <c r="A11" s="0" t="s">
        <v>31</v>
      </c>
      <c r="B11" s="28" t="n">
        <v>299</v>
      </c>
      <c r="C11" s="0" t="s">
        <v>21</v>
      </c>
    </row>
    <row r="12" customFormat="false" ht="15" hidden="false" customHeight="false" outlineLevel="0" collapsed="false">
      <c r="A12" s="0" t="s">
        <v>32</v>
      </c>
      <c r="B12" s="28" t="n">
        <v>399</v>
      </c>
      <c r="C12" s="0" t="s">
        <v>21</v>
      </c>
    </row>
    <row r="13" customFormat="false" ht="15" hidden="false" customHeight="false" outlineLevel="0" collapsed="false">
      <c r="A13" s="0" t="s">
        <v>33</v>
      </c>
      <c r="B13" s="28" t="n">
        <v>549</v>
      </c>
      <c r="C13" s="0" t="s">
        <v>21</v>
      </c>
    </row>
    <row r="14" customFormat="false" ht="15" hidden="false" customHeight="false" outlineLevel="0" collapsed="false">
      <c r="A14" s="0" t="s">
        <v>34</v>
      </c>
      <c r="B14" s="28" t="n">
        <v>129</v>
      </c>
      <c r="C14" s="0" t="s">
        <v>21</v>
      </c>
    </row>
    <row r="15" customFormat="false" ht="15" hidden="false" customHeight="false" outlineLevel="0" collapsed="false">
      <c r="A15" s="0" t="s">
        <v>35</v>
      </c>
      <c r="B15" s="28" t="n">
        <v>79</v>
      </c>
      <c r="C15" s="0" t="s">
        <v>21</v>
      </c>
    </row>
    <row r="16" customFormat="false" ht="15" hidden="false" customHeight="false" outlineLevel="0" collapsed="false">
      <c r="A16" s="0" t="s">
        <v>36</v>
      </c>
      <c r="B16" s="28" t="n">
        <v>99</v>
      </c>
      <c r="C16" s="0" t="s">
        <v>21</v>
      </c>
    </row>
    <row r="17" customFormat="false" ht="15" hidden="false" customHeight="false" outlineLevel="0" collapsed="false">
      <c r="A17" s="0" t="s">
        <v>37</v>
      </c>
      <c r="B17" s="28" t="n">
        <v>12</v>
      </c>
      <c r="C17" s="0" t="s">
        <v>38</v>
      </c>
    </row>
    <row r="18" customFormat="false" ht="15" hidden="false" customHeight="false" outlineLevel="0" collapsed="false">
      <c r="A18" s="0" t="s">
        <v>39</v>
      </c>
      <c r="B18" s="28" t="n">
        <v>18</v>
      </c>
      <c r="C18" s="0" t="s">
        <v>38</v>
      </c>
    </row>
    <row r="19" customFormat="false" ht="15" hidden="false" customHeight="false" outlineLevel="0" collapsed="false">
      <c r="A19" s="0" t="s">
        <v>40</v>
      </c>
      <c r="B19" s="28" t="n">
        <v>99</v>
      </c>
      <c r="C19" s="0" t="s">
        <v>21</v>
      </c>
    </row>
    <row r="20" customFormat="false" ht="15" hidden="false" customHeight="false" outlineLevel="0" collapsed="false">
      <c r="A20" s="0" t="s">
        <v>41</v>
      </c>
      <c r="B20" s="28" t="n">
        <v>4</v>
      </c>
      <c r="C20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2026-05-29T21:28:23Z</dcterms:created>
  <dc:creator>openpyxl</dc:creator>
  <dc:description/>
  <dc:language>en-US</dc:language>
  <cp:lastModifiedBy/>
  <dcterms:modified xsi:type="dcterms:W3CDTF">2026-05-29T21:28:23Z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