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Current vs Potential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<sst xmlns="http://schemas.openxmlformats.org/spreadsheetml/2006/main" count="91" uniqueCount="85">
  <si>
    <t xml:space="preserve">Unit Economics — what each job actually makes</t>
  </si>
  <si>
    <t xml:space="preserve">Blue cells are assumptions you can change.</t>
  </si>
  <si>
    <t xml:space="preserve">Brother labor rate ($/hr)</t>
  </si>
  <si>
    <t xml:space="preserve">Ray's current rate ($/hr)</t>
  </si>
  <si>
    <t xml:space="preserve">Working weeks per year</t>
  </si>
  <si>
    <t xml:space="preserve">OBX LOT SOLUTIONS  (runs on the brothers' labor)</t>
  </si>
  <si>
    <t xml:space="preserve">Service</t>
  </si>
  <si>
    <t xml:space="preserve">Price</t>
  </si>
  <si>
    <t xml:space="preserve">Clock hrs</t>
  </si>
  <si>
    <t xml:space="preserve">Crew</t>
  </si>
  <si>
    <t xml:space="preserve">Materials</t>
  </si>
  <si>
    <t xml:space="preserve">Labor hrs</t>
  </si>
  <si>
    <t xml:space="preserve">Labor cost</t>
  </si>
  <si>
    <t xml:space="preserve">Margin / job</t>
  </si>
  <si>
    <t xml:space="preserve">$ per clock-hr</t>
  </si>
  <si>
    <t xml:space="preserve">Margin %</t>
  </si>
  <si>
    <t xml:space="preserve">Soft wash — house (~2,000 sqft)</t>
  </si>
  <si>
    <t xml:space="preserve">Pressure wash — driveway/concrete</t>
  </si>
  <si>
    <t xml:space="preserve">House-watch visit (recurring)</t>
  </si>
  <si>
    <t xml:space="preserve">Junk removal — average job</t>
  </si>
  <si>
    <t xml:space="preserve">Window cleaning — visit</t>
  </si>
  <si>
    <t xml:space="preserve">Gutter cleaning</t>
  </si>
  <si>
    <t xml:space="preserve">Dryer vent cleaning (add-on)</t>
  </si>
  <si>
    <t xml:space="preserve">Holiday lighting — install (seasonal)</t>
  </si>
  <si>
    <t xml:space="preserve">JAMIESON AUTOMATION  (Ray's own time — compare $/hr to his $55)</t>
  </si>
  <si>
    <t xml:space="preserve">Ray hrs</t>
  </si>
  <si>
    <t xml:space="preserve">$ per Ray-hour</t>
  </si>
  <si>
    <t xml:space="preserve">vs $55/hr</t>
  </si>
  <si>
    <t xml:space="preserve">Starlink — standard install</t>
  </si>
  <si>
    <t xml:space="preserve">Rental-ready tech package (Starlink+wifi+lock+cam)</t>
  </si>
  <si>
    <t xml:space="preserve">TV mount / basic A/V</t>
  </si>
  <si>
    <t xml:space="preserve">Permanent outdoor lighting (per home)</t>
  </si>
  <si>
    <t xml:space="preserve">Commercial A/V — small system (Q-Sys)</t>
  </si>
  <si>
    <t xml:space="preserve">Note: even the brothers' OBX work nets the business far more per clock-hour than their $15-18 wage — and Ray's Jamieson hours are worth multiples of his $55.</t>
  </si>
  <si>
    <t xml:space="preserve">Where the money is today</t>
  </si>
  <si>
    <t xml:space="preserve">Person</t>
  </si>
  <si>
    <t xml:space="preserve">Job</t>
  </si>
  <si>
    <t xml:space="preserve">Rate</t>
  </si>
  <si>
    <t xml:space="preserve">Reality</t>
  </si>
  <si>
    <t xml:space="preserve">Ray</t>
  </si>
  <si>
    <t xml:space="preserve">Escape room (skilled)</t>
  </si>
  <si>
    <t xml:space="preserve">$55/hr</t>
  </si>
  <si>
    <t xml:space="preserve">Only ~$40k last year — badly under-utilized hours</t>
  </si>
  <si>
    <t xml:space="preserve">Pierce</t>
  </si>
  <si>
    <t xml:space="preserve">Firefighter (24-hr shifts, 3 days/wk)</t>
  </si>
  <si>
    <t xml:space="preserve">$15/hr</t>
  </si>
  <si>
    <t xml:space="preserve">Off ~4 days/week — available for OBX Lot Solutions</t>
  </si>
  <si>
    <t xml:space="preserve">Chase</t>
  </si>
  <si>
    <t xml:space="preserve">Escape room game guide</t>
  </si>
  <si>
    <t xml:space="preserve">$18/hr</t>
  </si>
  <si>
    <t xml:space="preserve">Normal hours; available around that schedule</t>
  </si>
  <si>
    <t xml:space="preserve">THE REFRAME</t>
  </si>
  <si>
    <t xml:space="preserve">• As a wage earner, Ray's ceiling is $55/hr x hours worked. Last year that was ~$40k.</t>
  </si>
  <si>
    <t xml:space="preserve">• As an OWNER, Ray earns the MARGIN the business makes above labor cost — which scales with the crew, not just his two hands.</t>
  </si>
  <si>
    <t xml:space="preserve">• OBX Lot Solutions can PAY the brothers more than their current jobs ($18-20/hr) and STILL net $50-130 per clock-hour in margin (see Unit Economics).</t>
  </si>
  <si>
    <t xml:space="preserve">• Ray owns 1/3 of OBX Lot Solutions and 100% of Jamieson. The model below shows what that can become.</t>
  </si>
  <si>
    <t xml:space="preserve">What it could be worth — scenarios</t>
  </si>
  <si>
    <t xml:space="preserve">Blue cells are assumptions. Change them and the totals update.</t>
  </si>
  <si>
    <t xml:space="preserve">OBX LOT SOLUTIONS  (Ray owns 1/3)</t>
  </si>
  <si>
    <t xml:space="preserve">Scenario</t>
  </si>
  <si>
    <t xml:space="preserve">Jobs / week</t>
  </si>
  <si>
    <t xml:space="preserve">Avg margin / job</t>
  </si>
  <si>
    <t xml:space="preserve">Weeks / yr</t>
  </si>
  <si>
    <t xml:space="preserve">Annual business margin</t>
  </si>
  <si>
    <t xml:space="preserve">Ray's 1/3</t>
  </si>
  <si>
    <t xml:space="preserve">Conservative (ramp-up)</t>
  </si>
  <si>
    <t xml:space="preserve">Moderate (recurring base)</t>
  </si>
  <si>
    <t xml:space="preserve">Aggressive (yr 2, 2 crews)</t>
  </si>
  <si>
    <t xml:space="preserve">JAMIESON AUTOMATION  (Ray owns 100%)</t>
  </si>
  <si>
    <t xml:space="preserve">Ray hrs / week</t>
  </si>
  <si>
    <t xml:space="preserve">Avg $ / Ray-hour</t>
  </si>
  <si>
    <t xml:space="preserve">Annual to Ray</t>
  </si>
  <si>
    <t xml:space="preserve">vs today ($40k)</t>
  </si>
  <si>
    <t xml:space="preserve">Part-time (nights/weekends)</t>
  </si>
  <si>
    <t xml:space="preserve">Half-time</t>
  </si>
  <si>
    <t xml:space="preserve">Lean-in (primary focus)</t>
  </si>
  <si>
    <t xml:space="preserve">RAY'S COMBINED INCOME (illustrative)</t>
  </si>
  <si>
    <t xml:space="preserve">Path</t>
  </si>
  <si>
    <t xml:space="preserve">Ray's annual income</t>
  </si>
  <si>
    <t xml:space="preserve">vs today</t>
  </si>
  <si>
    <t xml:space="preserve">Today (actual)</t>
  </si>
  <si>
    <t xml:space="preserve">Conservative OBX + part-time Jamieson</t>
  </si>
  <si>
    <t xml:space="preserve">Moderate OBX + half-time Jamieson</t>
  </si>
  <si>
    <t xml:space="preserve">Aggressive OBX + lean-in Jamieson</t>
  </si>
  <si>
    <t xml:space="preserve">These are planning scenarios, not guarantees — they show the SHAPE of the opportunity. Change the blue cells to test your own assumptions.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</si>
</sst>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A4E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4E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8BC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2052"/>
      <name val="Arial"/>
      <family val="0"/>
      <charset val="1"/>
    </font>
    <font>
      <b val="true"/>
      <sz val="10"/>
      <color rgb="FF002052"/>
      <name val="Arial"/>
      <family val="0"/>
      <charset val="1"/>
    </font>
    <font>
      <b val="true"/>
      <sz val="12"/>
      <color rgb="FF8BC34A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B2A4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E"/>
        <bgColor rgb="FF002052"/>
      </patternFill>
    </fill>
    <fill>
      <patternFill patternType="solid">
        <fgColor rgb="FFF0F6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6E4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BC34A"/>
      <rgbColor rgb="FFFFCC00"/>
      <rgbColor rgb="FFFF9900"/>
      <rgbColor rgb="FFFF6600"/>
      <rgbColor rgb="FF6B7280"/>
      <rgbColor rgb="FF969696"/>
      <rgbColor rgb="FF002052"/>
      <rgbColor rgb="FF339966"/>
      <rgbColor rgb="FF003300"/>
      <rgbColor rgb="FF333300"/>
      <rgbColor rgb="FF993300"/>
      <rgbColor rgb="FF993366"/>
      <rgbColor rgb="FF333399"/>
      <rgbColor rgb="FF1B2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E4" s="4" t="n">
        <v>18</v>
      </c>
    </row>
    <row r="5" customFormat="false" ht="15" hidden="false" customHeight="false" outlineLevel="0" collapsed="false">
      <c r="A5" s="3" t="s">
        <v>3</v>
      </c>
      <c r="E5" s="4" t="n">
        <v>55</v>
      </c>
    </row>
    <row r="6" customFormat="false" ht="15" hidden="false" customHeight="false" outlineLevel="0" collapsed="false">
      <c r="A6" s="3" t="s">
        <v>4</v>
      </c>
      <c r="E6" s="5" t="n">
        <v>48</v>
      </c>
    </row>
    <row r="8" customFormat="false" ht="15" hidden="false" customHeight="false" outlineLevel="0" collapsed="false">
      <c r="A8" s="6" t="s">
        <v>5</v>
      </c>
    </row>
    <row r="9" customFormat="false" ht="27.7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</row>
    <row r="10" customFormat="false" ht="15" hidden="false" customHeight="false" outlineLevel="0" collapsed="false">
      <c r="A10" s="8" t="s">
        <v>16</v>
      </c>
      <c r="B10" s="9" t="n">
        <v>399</v>
      </c>
      <c r="C10" s="10" t="n">
        <v>3.5</v>
      </c>
      <c r="D10" s="10" t="n">
        <v>2</v>
      </c>
      <c r="E10" s="9" t="n">
        <v>25</v>
      </c>
      <c r="F10" s="10" t="n">
        <f aca="false">C10*D10</f>
        <v>7</v>
      </c>
      <c r="G10" s="9" t="n">
        <f aca="false">F10*$E$4</f>
        <v>126</v>
      </c>
      <c r="H10" s="11" t="n">
        <f aca="false">B10-E10-G10</f>
        <v>248</v>
      </c>
      <c r="I10" s="12" t="n">
        <f aca="false">H10/C10</f>
        <v>70.8571428571429</v>
      </c>
      <c r="J10" s="13" t="n">
        <f aca="false">H10/B10</f>
        <v>0.621553884711779</v>
      </c>
    </row>
    <row r="11" customFormat="false" ht="15" hidden="false" customHeight="false" outlineLevel="0" collapsed="false">
      <c r="A11" s="8" t="s">
        <v>17</v>
      </c>
      <c r="B11" s="9" t="n">
        <v>149</v>
      </c>
      <c r="C11" s="10" t="n">
        <v>1</v>
      </c>
      <c r="D11" s="10" t="n">
        <v>1</v>
      </c>
      <c r="E11" s="9" t="n">
        <v>5</v>
      </c>
      <c r="F11" s="10" t="n">
        <f aca="false">C11*D11</f>
        <v>1</v>
      </c>
      <c r="G11" s="9" t="n">
        <f aca="false">F11*$E$4</f>
        <v>18</v>
      </c>
      <c r="H11" s="11" t="n">
        <f aca="false">B11-E11-G11</f>
        <v>126</v>
      </c>
      <c r="I11" s="12" t="n">
        <f aca="false">H11/C11</f>
        <v>126</v>
      </c>
      <c r="J11" s="13" t="n">
        <f aca="false">H11/B11</f>
        <v>0.845637583892618</v>
      </c>
    </row>
    <row r="12" customFormat="false" ht="15" hidden="false" customHeight="false" outlineLevel="0" collapsed="false">
      <c r="A12" s="8" t="s">
        <v>18</v>
      </c>
      <c r="B12" s="9" t="n">
        <v>50</v>
      </c>
      <c r="C12" s="10" t="n">
        <v>0.75</v>
      </c>
      <c r="D12" s="10" t="n">
        <v>1</v>
      </c>
      <c r="E12" s="9" t="n">
        <v>2</v>
      </c>
      <c r="F12" s="10" t="n">
        <f aca="false">C12*D12</f>
        <v>0.75</v>
      </c>
      <c r="G12" s="9" t="n">
        <f aca="false">F12*$E$4</f>
        <v>13.5</v>
      </c>
      <c r="H12" s="11" t="n">
        <f aca="false">B12-E12-G12</f>
        <v>34.5</v>
      </c>
      <c r="I12" s="12" t="n">
        <f aca="false">H12/C12</f>
        <v>46</v>
      </c>
      <c r="J12" s="13" t="n">
        <f aca="false">H12/B12</f>
        <v>0.69</v>
      </c>
    </row>
    <row r="13" customFormat="false" ht="15" hidden="false" customHeight="false" outlineLevel="0" collapsed="false">
      <c r="A13" s="8" t="s">
        <v>19</v>
      </c>
      <c r="B13" s="9" t="n">
        <v>400</v>
      </c>
      <c r="C13" s="10" t="n">
        <v>2</v>
      </c>
      <c r="D13" s="10" t="n">
        <v>2</v>
      </c>
      <c r="E13" s="9" t="n">
        <v>60</v>
      </c>
      <c r="F13" s="10" t="n">
        <f aca="false">C13*D13</f>
        <v>4</v>
      </c>
      <c r="G13" s="9" t="n">
        <f aca="false">F13*$E$4</f>
        <v>72</v>
      </c>
      <c r="H13" s="11" t="n">
        <f aca="false">B13-E13-G13</f>
        <v>268</v>
      </c>
      <c r="I13" s="12" t="n">
        <f aca="false">H13/C13</f>
        <v>134</v>
      </c>
      <c r="J13" s="13" t="n">
        <f aca="false">H13/B13</f>
        <v>0.67</v>
      </c>
    </row>
    <row r="14" customFormat="false" ht="15" hidden="false" customHeight="false" outlineLevel="0" collapsed="false">
      <c r="A14" s="8" t="s">
        <v>20</v>
      </c>
      <c r="B14" s="9" t="n">
        <v>250</v>
      </c>
      <c r="C14" s="10" t="n">
        <v>2</v>
      </c>
      <c r="D14" s="10" t="n">
        <v>2</v>
      </c>
      <c r="E14" s="9" t="n">
        <v>10</v>
      </c>
      <c r="F14" s="10" t="n">
        <f aca="false">C14*D14</f>
        <v>4</v>
      </c>
      <c r="G14" s="9" t="n">
        <f aca="false">F14*$E$4</f>
        <v>72</v>
      </c>
      <c r="H14" s="11" t="n">
        <f aca="false">B14-E14-G14</f>
        <v>168</v>
      </c>
      <c r="I14" s="12" t="n">
        <f aca="false">H14/C14</f>
        <v>84</v>
      </c>
      <c r="J14" s="13" t="n">
        <f aca="false">H14/B14</f>
        <v>0.672</v>
      </c>
    </row>
    <row r="15" customFormat="false" ht="15" hidden="false" customHeight="false" outlineLevel="0" collapsed="false">
      <c r="A15" s="8" t="s">
        <v>21</v>
      </c>
      <c r="B15" s="9" t="n">
        <v>200</v>
      </c>
      <c r="C15" s="10" t="n">
        <v>1.5</v>
      </c>
      <c r="D15" s="10" t="n">
        <v>2</v>
      </c>
      <c r="E15" s="9" t="n">
        <v>5</v>
      </c>
      <c r="F15" s="10" t="n">
        <f aca="false">C15*D15</f>
        <v>3</v>
      </c>
      <c r="G15" s="9" t="n">
        <f aca="false">F15*$E$4</f>
        <v>54</v>
      </c>
      <c r="H15" s="11" t="n">
        <f aca="false">B15-E15-G15</f>
        <v>141</v>
      </c>
      <c r="I15" s="12" t="n">
        <f aca="false">H15/C15</f>
        <v>94</v>
      </c>
      <c r="J15" s="13" t="n">
        <f aca="false">H15/B15</f>
        <v>0.705</v>
      </c>
    </row>
    <row r="16" customFormat="false" ht="15" hidden="false" customHeight="false" outlineLevel="0" collapsed="false">
      <c r="A16" s="8" t="s">
        <v>22</v>
      </c>
      <c r="B16" s="9" t="n">
        <v>130</v>
      </c>
      <c r="C16" s="10" t="n">
        <v>1</v>
      </c>
      <c r="D16" s="10" t="n">
        <v>1</v>
      </c>
      <c r="E16" s="9" t="n">
        <v>5</v>
      </c>
      <c r="F16" s="10" t="n">
        <f aca="false">C16*D16</f>
        <v>1</v>
      </c>
      <c r="G16" s="9" t="n">
        <f aca="false">F16*$E$4</f>
        <v>18</v>
      </c>
      <c r="H16" s="11" t="n">
        <f aca="false">B16-E16-G16</f>
        <v>107</v>
      </c>
      <c r="I16" s="12" t="n">
        <f aca="false">H16/C16</f>
        <v>107</v>
      </c>
      <c r="J16" s="13" t="n">
        <f aca="false">H16/B16</f>
        <v>0.823076923076923</v>
      </c>
    </row>
    <row r="17" customFormat="false" ht="15" hidden="false" customHeight="false" outlineLevel="0" collapsed="false">
      <c r="A17" s="8" t="s">
        <v>23</v>
      </c>
      <c r="B17" s="9" t="n">
        <v>1200</v>
      </c>
      <c r="C17" s="10" t="n">
        <v>4</v>
      </c>
      <c r="D17" s="10" t="n">
        <v>2</v>
      </c>
      <c r="E17" s="9" t="n">
        <v>200</v>
      </c>
      <c r="F17" s="10" t="n">
        <f aca="false">C17*D17</f>
        <v>8</v>
      </c>
      <c r="G17" s="9" t="n">
        <f aca="false">F17*$E$4</f>
        <v>144</v>
      </c>
      <c r="H17" s="11" t="n">
        <f aca="false">B17-E17-G17</f>
        <v>856</v>
      </c>
      <c r="I17" s="12" t="n">
        <f aca="false">H17/C17</f>
        <v>214</v>
      </c>
      <c r="J17" s="13" t="n">
        <f aca="false">H17/B17</f>
        <v>0.713333333333333</v>
      </c>
    </row>
    <row r="19" customFormat="false" ht="15" hidden="false" customHeight="false" outlineLevel="0" collapsed="false">
      <c r="A19" s="14" t="s">
        <v>24</v>
      </c>
    </row>
    <row r="20" customFormat="false" ht="27.75" hidden="false" customHeight="true" outlineLevel="0" collapsed="false">
      <c r="A20" s="7" t="s">
        <v>6</v>
      </c>
      <c r="B20" s="7" t="s">
        <v>7</v>
      </c>
      <c r="C20" s="7" t="s">
        <v>25</v>
      </c>
      <c r="D20" s="7" t="s">
        <v>10</v>
      </c>
      <c r="E20" s="7" t="s">
        <v>13</v>
      </c>
      <c r="F20" s="7" t="s">
        <v>26</v>
      </c>
      <c r="G20" s="7" t="s">
        <v>27</v>
      </c>
    </row>
    <row r="21" customFormat="false" ht="15" hidden="false" customHeight="false" outlineLevel="0" collapsed="false">
      <c r="A21" s="8" t="s">
        <v>28</v>
      </c>
      <c r="B21" s="9" t="n">
        <v>299</v>
      </c>
      <c r="C21" s="10" t="n">
        <v>2</v>
      </c>
      <c r="D21" s="9" t="n">
        <v>30</v>
      </c>
      <c r="E21" s="11" t="n">
        <f aca="false">B21-D21</f>
        <v>269</v>
      </c>
      <c r="F21" s="15" t="n">
        <f aca="false">E21/C21</f>
        <v>134.5</v>
      </c>
      <c r="G21" s="16" t="n">
        <f aca="false">E21/C21/$E$5</f>
        <v>2.44545454545455</v>
      </c>
    </row>
    <row r="22" customFormat="false" ht="15" hidden="false" customHeight="false" outlineLevel="0" collapsed="false">
      <c r="A22" s="8" t="s">
        <v>29</v>
      </c>
      <c r="B22" s="9" t="n">
        <v>1200</v>
      </c>
      <c r="C22" s="10" t="n">
        <v>6</v>
      </c>
      <c r="D22" s="9" t="n">
        <v>150</v>
      </c>
      <c r="E22" s="11" t="n">
        <f aca="false">B22-D22</f>
        <v>1050</v>
      </c>
      <c r="F22" s="15" t="n">
        <f aca="false">E22/C22</f>
        <v>175</v>
      </c>
      <c r="G22" s="16" t="n">
        <f aca="false">E22/C22/$E$5</f>
        <v>3.18181818181818</v>
      </c>
    </row>
    <row r="23" customFormat="false" ht="15" hidden="false" customHeight="false" outlineLevel="0" collapsed="false">
      <c r="A23" s="8" t="s">
        <v>30</v>
      </c>
      <c r="B23" s="9" t="n">
        <v>149</v>
      </c>
      <c r="C23" s="10" t="n">
        <v>1</v>
      </c>
      <c r="D23" s="9" t="n">
        <v>10</v>
      </c>
      <c r="E23" s="11" t="n">
        <f aca="false">B23-D23</f>
        <v>139</v>
      </c>
      <c r="F23" s="15" t="n">
        <f aca="false">E23/C23</f>
        <v>139</v>
      </c>
      <c r="G23" s="16" t="n">
        <f aca="false">E23/C23/$E$5</f>
        <v>2.52727272727273</v>
      </c>
    </row>
    <row r="24" customFormat="false" ht="15" hidden="false" customHeight="false" outlineLevel="0" collapsed="false">
      <c r="A24" s="8" t="s">
        <v>31</v>
      </c>
      <c r="B24" s="9" t="n">
        <v>2200</v>
      </c>
      <c r="C24" s="10" t="n">
        <v>10</v>
      </c>
      <c r="D24" s="9" t="n">
        <v>700</v>
      </c>
      <c r="E24" s="11" t="n">
        <f aca="false">B24-D24</f>
        <v>1500</v>
      </c>
      <c r="F24" s="15" t="n">
        <f aca="false">E24/C24</f>
        <v>150</v>
      </c>
      <c r="G24" s="16" t="n">
        <f aca="false">E24/C24/$E$5</f>
        <v>2.72727272727273</v>
      </c>
    </row>
    <row r="25" customFormat="false" ht="15" hidden="false" customHeight="false" outlineLevel="0" collapsed="false">
      <c r="A25" s="8" t="s">
        <v>32</v>
      </c>
      <c r="B25" s="9" t="n">
        <v>4500</v>
      </c>
      <c r="C25" s="10" t="n">
        <v>16</v>
      </c>
      <c r="D25" s="9" t="n">
        <v>1200</v>
      </c>
      <c r="E25" s="11" t="n">
        <f aca="false">B25-D25</f>
        <v>3300</v>
      </c>
      <c r="F25" s="15" t="n">
        <f aca="false">E25/C25</f>
        <v>206.25</v>
      </c>
      <c r="G25" s="16" t="n">
        <f aca="false">E25/C25/$E$5</f>
        <v>3.75</v>
      </c>
    </row>
    <row r="27" customFormat="false" ht="15" hidden="false" customHeight="false" outlineLevel="0" collapsed="false">
      <c r="A27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8.55" hidden="false" customHeight="false" outlineLevel="0" collapsed="false">
      <c r="A1" s="1" t="s">
        <v>34</v>
      </c>
    </row>
    <row r="3" customFormat="false" ht="27.75" hidden="false" customHeight="true" outlineLevel="0" collapsed="false">
      <c r="A3" s="7" t="s">
        <v>35</v>
      </c>
      <c r="B3" s="7" t="s">
        <v>36</v>
      </c>
      <c r="C3" s="7" t="s">
        <v>37</v>
      </c>
      <c r="D3" s="7" t="s">
        <v>38</v>
      </c>
    </row>
    <row r="4" customFormat="false" ht="15" hidden="false" customHeight="false" outlineLevel="0" collapsed="false">
      <c r="A4" s="17" t="s">
        <v>39</v>
      </c>
      <c r="B4" s="18" t="s">
        <v>40</v>
      </c>
      <c r="C4" s="18" t="s">
        <v>41</v>
      </c>
      <c r="D4" s="18" t="s">
        <v>42</v>
      </c>
    </row>
    <row r="5" customFormat="false" ht="15" hidden="false" customHeight="false" outlineLevel="0" collapsed="false">
      <c r="A5" s="17" t="s">
        <v>43</v>
      </c>
      <c r="B5" s="18" t="s">
        <v>44</v>
      </c>
      <c r="C5" s="18" t="s">
        <v>45</v>
      </c>
      <c r="D5" s="18" t="s">
        <v>46</v>
      </c>
    </row>
    <row r="6" customFormat="false" ht="15" hidden="false" customHeight="false" outlineLevel="0" collapsed="false">
      <c r="A6" s="17" t="s">
        <v>47</v>
      </c>
      <c r="B6" s="18" t="s">
        <v>48</v>
      </c>
      <c r="C6" s="18" t="s">
        <v>49</v>
      </c>
      <c r="D6" s="18" t="s">
        <v>50</v>
      </c>
    </row>
    <row r="8" customFormat="false" ht="15" hidden="false" customHeight="false" outlineLevel="0" collapsed="false">
      <c r="A8" s="19" t="s">
        <v>51</v>
      </c>
    </row>
    <row r="9" customFormat="false" ht="30" hidden="false" customHeight="true" outlineLevel="0" collapsed="false">
      <c r="A9" s="20" t="s">
        <v>52</v>
      </c>
      <c r="B9" s="20"/>
      <c r="C9" s="20"/>
      <c r="D9" s="20"/>
    </row>
    <row r="10" customFormat="false" ht="30" hidden="false" customHeight="true" outlineLevel="0" collapsed="false">
      <c r="A10" s="20" t="s">
        <v>53</v>
      </c>
      <c r="B10" s="20"/>
      <c r="C10" s="20"/>
      <c r="D10" s="20"/>
    </row>
    <row r="11" customFormat="false" ht="30" hidden="false" customHeight="true" outlineLevel="0" collapsed="false">
      <c r="A11" s="20" t="s">
        <v>54</v>
      </c>
      <c r="B11" s="20"/>
      <c r="C11" s="20"/>
      <c r="D11" s="20"/>
    </row>
    <row r="12" customFormat="false" ht="30" hidden="false" customHeight="true" outlineLevel="0" collapsed="false">
      <c r="A12" s="20" t="s">
        <v>55</v>
      </c>
      <c r="B12" s="20"/>
      <c r="C12" s="20"/>
      <c r="D12" s="20"/>
    </row>
  </sheetData>
  <mergeCells count="4">
    <mergeCell ref="A9:D9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6" t="s">
        <v>58</v>
      </c>
    </row>
    <row r="5" customFormat="false" ht="27.75" hidden="false" customHeight="true" outlineLevel="0" collapsed="false">
      <c r="A5" s="7" t="s">
        <v>59</v>
      </c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</row>
    <row r="6" customFormat="false" ht="15" hidden="false" customHeight="false" outlineLevel="0" collapsed="false">
      <c r="A6" s="8" t="s">
        <v>65</v>
      </c>
      <c r="B6" s="21" t="n">
        <v>6</v>
      </c>
      <c r="C6" s="22" t="n">
        <v>180</v>
      </c>
      <c r="D6" s="21" t="n">
        <v>48</v>
      </c>
      <c r="E6" s="11" t="n">
        <f aca="false">B6*C6*D6</f>
        <v>51840</v>
      </c>
      <c r="F6" s="12" t="n">
        <f aca="false">E6/3</f>
        <v>17280</v>
      </c>
    </row>
    <row r="7" customFormat="false" ht="15" hidden="false" customHeight="false" outlineLevel="0" collapsed="false">
      <c r="A7" s="8" t="s">
        <v>66</v>
      </c>
      <c r="B7" s="21" t="n">
        <v>12</v>
      </c>
      <c r="C7" s="22" t="n">
        <v>200</v>
      </c>
      <c r="D7" s="21" t="n">
        <v>48</v>
      </c>
      <c r="E7" s="11" t="n">
        <f aca="false">B7*C7*D7</f>
        <v>115200</v>
      </c>
      <c r="F7" s="12" t="n">
        <f aca="false">E7/3</f>
        <v>38400</v>
      </c>
    </row>
    <row r="8" customFormat="false" ht="15" hidden="false" customHeight="false" outlineLevel="0" collapsed="false">
      <c r="A8" s="8" t="s">
        <v>67</v>
      </c>
      <c r="B8" s="21" t="n">
        <v>24</v>
      </c>
      <c r="C8" s="22" t="n">
        <v>220</v>
      </c>
      <c r="D8" s="21" t="n">
        <v>48</v>
      </c>
      <c r="E8" s="11" t="n">
        <f aca="false">B8*C8*D8</f>
        <v>253440</v>
      </c>
      <c r="F8" s="12" t="n">
        <f aca="false">E8/3</f>
        <v>84480</v>
      </c>
    </row>
    <row r="10" customFormat="false" ht="15" hidden="false" customHeight="false" outlineLevel="0" collapsed="false">
      <c r="A10" s="14" t="s">
        <v>68</v>
      </c>
    </row>
    <row r="11" customFormat="false" ht="27.75" hidden="false" customHeight="true" outlineLevel="0" collapsed="false">
      <c r="A11" s="7" t="s">
        <v>59</v>
      </c>
      <c r="B11" s="7" t="s">
        <v>69</v>
      </c>
      <c r="C11" s="7" t="s">
        <v>70</v>
      </c>
      <c r="D11" s="7" t="s">
        <v>62</v>
      </c>
      <c r="E11" s="7" t="s">
        <v>71</v>
      </c>
      <c r="F11" s="7" t="s">
        <v>72</v>
      </c>
    </row>
    <row r="12" customFormat="false" ht="15" hidden="false" customHeight="false" outlineLevel="0" collapsed="false">
      <c r="A12" s="8" t="s">
        <v>73</v>
      </c>
      <c r="B12" s="21" t="n">
        <v>12</v>
      </c>
      <c r="C12" s="22" t="n">
        <v>110</v>
      </c>
      <c r="D12" s="21" t="n">
        <v>48</v>
      </c>
      <c r="E12" s="15" t="n">
        <f aca="false">B12*C12*D12</f>
        <v>63360</v>
      </c>
      <c r="F12" s="16" t="n">
        <f aca="false">E12/40000</f>
        <v>1.584</v>
      </c>
    </row>
    <row r="13" customFormat="false" ht="15" hidden="false" customHeight="false" outlineLevel="0" collapsed="false">
      <c r="A13" s="8" t="s">
        <v>74</v>
      </c>
      <c r="B13" s="21" t="n">
        <v>20</v>
      </c>
      <c r="C13" s="22" t="n">
        <v>120</v>
      </c>
      <c r="D13" s="21" t="n">
        <v>48</v>
      </c>
      <c r="E13" s="15" t="n">
        <f aca="false">B13*C13*D13</f>
        <v>115200</v>
      </c>
      <c r="F13" s="16" t="n">
        <f aca="false">E13/40000</f>
        <v>2.88</v>
      </c>
    </row>
    <row r="14" customFormat="false" ht="15" hidden="false" customHeight="false" outlineLevel="0" collapsed="false">
      <c r="A14" s="8" t="s">
        <v>75</v>
      </c>
      <c r="B14" s="21" t="n">
        <v>32</v>
      </c>
      <c r="C14" s="22" t="n">
        <v>130</v>
      </c>
      <c r="D14" s="21" t="n">
        <v>48</v>
      </c>
      <c r="E14" s="15" t="n">
        <f aca="false">B14*C14*D14</f>
        <v>199680</v>
      </c>
      <c r="F14" s="16" t="n">
        <f aca="false">E14/40000</f>
        <v>4.992</v>
      </c>
    </row>
    <row r="16" customFormat="false" ht="15" hidden="false" customHeight="false" outlineLevel="0" collapsed="false">
      <c r="A16" s="19" t="s">
        <v>76</v>
      </c>
    </row>
    <row r="17" customFormat="false" ht="27.75" hidden="false" customHeight="true" outlineLevel="0" collapsed="false">
      <c r="A17" s="7" t="s">
        <v>77</v>
      </c>
      <c r="B17" s="7" t="s">
        <v>78</v>
      </c>
      <c r="C17" s="7" t="s">
        <v>79</v>
      </c>
    </row>
    <row r="18" customFormat="false" ht="15" hidden="false" customHeight="false" outlineLevel="0" collapsed="false">
      <c r="A18" s="23" t="s">
        <v>80</v>
      </c>
      <c r="B18" s="24" t="n">
        <f aca="false">40000</f>
        <v>40000</v>
      </c>
      <c r="C18" s="25" t="n">
        <f aca="false">B18/40000</f>
        <v>1</v>
      </c>
    </row>
    <row r="19" customFormat="false" ht="15" hidden="false" customHeight="false" outlineLevel="0" collapsed="false">
      <c r="A19" s="8" t="s">
        <v>81</v>
      </c>
      <c r="B19" s="26" t="n">
        <f aca="false">F6+E12</f>
        <v>80640</v>
      </c>
      <c r="C19" s="16" t="n">
        <f aca="false">B19/40000</f>
        <v>2.016</v>
      </c>
    </row>
    <row r="20" customFormat="false" ht="15" hidden="false" customHeight="false" outlineLevel="0" collapsed="false">
      <c r="A20" s="8" t="s">
        <v>82</v>
      </c>
      <c r="B20" s="26" t="n">
        <f aca="false">F7+E13</f>
        <v>153600</v>
      </c>
      <c r="C20" s="16" t="n">
        <f aca="false">B20/40000</f>
        <v>3.84</v>
      </c>
    </row>
    <row r="21" customFormat="false" ht="15" hidden="false" customHeight="false" outlineLevel="0" collapsed="false">
      <c r="A21" s="8" t="s">
        <v>83</v>
      </c>
      <c r="B21" s="26" t="n">
        <f aca="false">F8+E14</f>
        <v>284160</v>
      </c>
      <c r="C21" s="16" t="n">
        <f aca="false">B21/40000</f>
        <v>7.104</v>
      </c>
    </row>
    <row r="23" customFormat="false" ht="15" hidden="false" customHeight="false" outlineLevel="0" collapsed="false">
      <c r="A23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2026-05-30T04:14:31Z</dcterms:created>
  <dc:creator>openpyxl</dc:creator>
  <dc:description/>
  <dc:language>en-US</dc:language>
  <cp:lastModifiedBy/>
  <dcterms:modified xsi:type="dcterms:W3CDTF">2026-05-30T04:14:31Z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