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ice Ladder" sheetId="2" state="visible" r:id="rId4"/>
    <sheet name="Revenue Impact" sheetId="3" state="visible" r:id="rId5"/>
    <sheet name="Positioning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<sst xmlns="http://schemas.openxmlformats.org/spreadsheetml/2006/main" count="92" uniqueCount="80">
  <si>
    <t xml:space="preserve">House-Watch Pricing Model — Inputs</t>
  </si>
  <si>
    <t xml:space="preserve">Blue = change me. Black = calculated. Yellow = key assumption.</t>
  </si>
  <si>
    <t xml:space="preserve">COST PER VISIT (assumption)</t>
  </si>
  <si>
    <t xml:space="preserve">Crew time per visit (hours)</t>
  </si>
  <si>
    <t xml:space="preserve">Visit + drive ≈ 30–45 min (Service Guide)</t>
  </si>
  <si>
    <t xml:space="preserve">Labor rate ($/crew-hour)</t>
  </si>
  <si>
    <t xml:space="preserve">Brother wage (Service Guide)</t>
  </si>
  <si>
    <t xml:space="preserve">Vehicle / gas per visit ($)</t>
  </si>
  <si>
    <t xml:space="preserve">Estimate</t>
  </si>
  <si>
    <t xml:space="preserve">Cost per visit</t>
  </si>
  <si>
    <t xml:space="preserve">VISITS PER MONTH BY CADENCE</t>
  </si>
  <si>
    <t xml:space="preserve">Monthly (1×/mo)</t>
  </si>
  <si>
    <t xml:space="preserve">Bi-weekly (every 2 wks)</t>
  </si>
  <si>
    <t xml:space="preserve">Weekly</t>
  </si>
  <si>
    <t xml:space="preserve">COMPETITOR ANCHOR (per single inspection)</t>
  </si>
  <si>
    <t xml:space="preserve">Anchor low (OBX First Watch)</t>
  </si>
  <si>
    <t xml:space="preserve">Anchor high (OBX First Watch)</t>
  </si>
  <si>
    <t xml:space="preserve">Anchor midpoint</t>
  </si>
  <si>
    <t xml:space="preserve">RATES — CURRENT vs PROPOSED ($/visit)</t>
  </si>
  <si>
    <t xml:space="preserve">Tier</t>
  </si>
  <si>
    <t xml:space="preserve">Current</t>
  </si>
  <si>
    <t xml:space="preserve">Proposed</t>
  </si>
  <si>
    <t xml:space="preserve">Monthly</t>
  </si>
  <si>
    <t xml:space="preserve">Bi-weekly</t>
  </si>
  <si>
    <t xml:space="preserve">One-off / ad-hoc</t>
  </si>
  <si>
    <t xml:space="preserve">Storm check</t>
  </si>
  <si>
    <t xml:space="preserve">Proposed Price Ladder vs Current vs Anchor</t>
  </si>
  <si>
    <t xml:space="preserve">Visits/mo</t>
  </si>
  <si>
    <t xml:space="preserve">Current $/visit</t>
  </si>
  <si>
    <t xml:space="preserve">Proposed $/visit</t>
  </si>
  <si>
    <t xml:space="preserve">% change</t>
  </si>
  <si>
    <t xml:space="preserve">Anchor (single)</t>
  </si>
  <si>
    <t xml:space="preserve">Cost/visit</t>
  </si>
  <si>
    <t xml:space="preserve">Margin/visit (curr)</t>
  </si>
  <si>
    <t xml:space="preserve">Margin % curr</t>
  </si>
  <si>
    <t xml:space="preserve">Margin/visit (prop)</t>
  </si>
  <si>
    <t xml:space="preserve">Margin % prop</t>
  </si>
  <si>
    <t xml:space="preserve">Note: recurring tiers stay AT/BELOW the single-inspection anchor — the recurring discount is preserved even after the increase.</t>
  </si>
  <si>
    <t xml:space="preserve">Revenue Impact</t>
  </si>
  <si>
    <t xml:space="preserve">Per-client revenue (recurring tiers)</t>
  </si>
  <si>
    <t xml:space="preserve">Current/mo</t>
  </si>
  <si>
    <t xml:space="preserve">Proposed/mo</t>
  </si>
  <si>
    <t xml:space="preserve">Δ/mo</t>
  </si>
  <si>
    <t xml:space="preserve">Current/yr</t>
  </si>
  <si>
    <t xml:space="preserve">Proposed/yr</t>
  </si>
  <si>
    <t xml:space="preserve">Blended portfolio mix (change me)</t>
  </si>
  <si>
    <t xml:space="preserve">% Monthly</t>
  </si>
  <si>
    <t xml:space="preserve">% Bi-weekly</t>
  </si>
  <si>
    <t xml:space="preserve">% Weekly</t>
  </si>
  <si>
    <t xml:space="preserve">Mix check (=100%)</t>
  </si>
  <si>
    <t xml:space="preserve">Avg revenue / client / mo — current</t>
  </si>
  <si>
    <t xml:space="preserve">Avg revenue / client / mo — proposed</t>
  </si>
  <si>
    <t xml:space="preserve">Portfolio revenue at client counts (blended)</t>
  </si>
  <si>
    <t xml:space="preserve">Clients</t>
  </si>
  <si>
    <t xml:space="preserve">Current MRR</t>
  </si>
  <si>
    <t xml:space="preserve">Proposed MRR</t>
  </si>
  <si>
    <t xml:space="preserve">Δ MRR</t>
  </si>
  <si>
    <t xml:space="preserve">Δ Annual</t>
  </si>
  <si>
    <t xml:space="preserve">MRR = monthly recurring revenue. Assumes the blended mix above; change mix or counts to test scenarios.</t>
  </si>
  <si>
    <t xml:space="preserve">Positioning &amp; Notes — DATA FOR RAY TO DECIDE (not a done decision)</t>
  </si>
  <si>
    <t xml:space="preserve">Why the anchor matters</t>
  </si>
  <si>
    <t xml:space="preserve">OBX First Watch is the only OBX home-watch competitor publishing prices: $65–$85 per single interior+exterior inspection,</t>
  </si>
  <si>
    <t xml:space="preserve">priced by drive distance, for 4–8 BR homes. Home Check OBX and Cottage Comforts keep pricing private.</t>
  </si>
  <si>
    <t xml:space="preserve">Our current recurring rates ($40–$50/visit) sit BELOW that single-inspection anchor.</t>
  </si>
  <si>
    <t xml:space="preserve">Proposed ladder logic</t>
  </si>
  <si>
    <t xml:space="preserve">Set recurring per-visit rates at/just under the anchor, with higher cadence = lower per-visit (volume reward):</t>
  </si>
  <si>
    <t xml:space="preserve">  • Monthly $50 → $65   • Bi-weekly $45 → $55   • Weekly $40 → $50   • One-off $75 (keep)   • Storm $95 (keep)</t>
  </si>
  <si>
    <t xml:space="preserve">Even at the proposed rates, recurring stays a discount to the $75 one-off and at/below the $65–85 single-inspection market.</t>
  </si>
  <si>
    <t xml:space="preserve">How to position the increase (suggested, not decided)</t>
  </si>
  <si>
    <t xml:space="preserve">1. New clients first: quote all NEW house-watch clients at the proposed ladder immediately. Low risk, no churn.</t>
  </si>
  <si>
    <t xml:space="preserve">2. Grandfather existing clients: keep their current rate for now, or step them up at a natural renewal/season start</t>
  </si>
  <si>
    <t xml:space="preserve">   with 30+ days notice — frame around the photo-report value and that they're still below market.</t>
  </si>
  <si>
    <t xml:space="preserve">3. Lead with value, not price: the branded photo report every visit (competitors send text/email) justifies the rate.</t>
  </si>
  <si>
    <t xml:space="preserve">Caveats</t>
  </si>
  <si>
    <t xml:space="preserve">• Cost/visit (~$18.50) assumes a brother runs the visit at $18/hr. If RAY runs it, the cash cost is lower but his time is the</t>
  </si>
  <si>
    <t xml:space="preserve">  real cost — adjust the Inputs tab. Margins shown are on cash cost, not Ray's time.</t>
  </si>
  <si>
    <t xml:space="preserve">• Visits/mo for bi-weekly (2.17) and weekly (4.33) are calendar-accurate averages; round in conversation if simpler.</t>
  </si>
  <si>
    <t xml:space="preserve">• Pricing decision is Ray's. This sheet is a decision aid; the J-Suite app holds the live deep-quote tools.</t>
  </si>
  <si>
    <t xml:space="preserve">Sources</t>
  </si>
  <si>
    <t xml:space="preserve">OBX First Watch fees: https://www.obxfirstwatch.com/fees-feb-2021  |  Internal: Service Guide, quote-pricing-benchmarks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</si>
</sst>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.00"/>
    <numFmt numFmtId="167" formatCode="\$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BC34A"/>
        <bgColor rgb="FF969696"/>
      </patternFill>
    </fill>
    <fill>
      <patternFill patternType="solid">
        <fgColor rgb="FFFFF3B0"/>
        <bgColor rgb="FFFFFFCC"/>
      </patternFill>
    </fill>
    <fill>
      <patternFill patternType="solid">
        <fgColor rgb="FF1B2A4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8BC34A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0.75</v>
      </c>
      <c r="C5" s="2" t="s">
        <v>4</v>
      </c>
    </row>
    <row r="6" customFormat="false" ht="15" hidden="false" customHeight="false" outlineLevel="0" collapsed="false">
      <c r="A6" s="0" t="s">
        <v>5</v>
      </c>
      <c r="B6" s="5" t="n">
        <v>18</v>
      </c>
      <c r="C6" s="2" t="s">
        <v>6</v>
      </c>
    </row>
    <row r="7" customFormat="false" ht="15" hidden="false" customHeight="false" outlineLevel="0" collapsed="false">
      <c r="A7" s="0" t="s">
        <v>7</v>
      </c>
      <c r="B7" s="5" t="n">
        <v>5</v>
      </c>
      <c r="C7" s="2" t="s">
        <v>8</v>
      </c>
    </row>
    <row r="8" customFormat="false" ht="15" hidden="false" customHeight="false" outlineLevel="0" collapsed="false">
      <c r="A8" s="6" t="s">
        <v>9</v>
      </c>
      <c r="B8" s="7" t="n">
        <f aca="false">B5*B6+B7</f>
        <v>18.5</v>
      </c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0" t="s">
        <v>11</v>
      </c>
      <c r="B11" s="4" t="n">
        <v>1</v>
      </c>
    </row>
    <row r="12" customFormat="false" ht="15" hidden="false" customHeight="false" outlineLevel="0" collapsed="false">
      <c r="A12" s="0" t="s">
        <v>12</v>
      </c>
      <c r="B12" s="4" t="n">
        <v>2.17</v>
      </c>
    </row>
    <row r="13" customFormat="false" ht="15" hidden="false" customHeight="false" outlineLevel="0" collapsed="false">
      <c r="A13" s="0" t="s">
        <v>13</v>
      </c>
      <c r="B13" s="4" t="n">
        <v>4.33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0" t="s">
        <v>15</v>
      </c>
      <c r="B16" s="8" t="n">
        <v>65</v>
      </c>
    </row>
    <row r="17" customFormat="false" ht="15" hidden="false" customHeight="false" outlineLevel="0" collapsed="false">
      <c r="A17" s="0" t="s">
        <v>16</v>
      </c>
      <c r="B17" s="8" t="n">
        <v>85</v>
      </c>
    </row>
    <row r="18" customFormat="false" ht="15" hidden="false" customHeight="false" outlineLevel="0" collapsed="false">
      <c r="A18" s="0" t="s">
        <v>17</v>
      </c>
      <c r="B18" s="9" t="n">
        <f aca="false">AVERAGE(B16:B17)</f>
        <v>75</v>
      </c>
    </row>
    <row r="20" customFormat="false" ht="15" hidden="false" customHeight="false" outlineLevel="0" collapsed="false">
      <c r="A20" s="3" t="s">
        <v>18</v>
      </c>
    </row>
    <row r="21" customFormat="false" ht="15" hidden="false" customHeight="false" outlineLevel="0" collapsed="false">
      <c r="A21" s="10" t="s">
        <v>19</v>
      </c>
      <c r="B21" s="10" t="s">
        <v>20</v>
      </c>
      <c r="C21" s="10" t="s">
        <v>21</v>
      </c>
    </row>
    <row r="22" customFormat="false" ht="15" hidden="false" customHeight="false" outlineLevel="0" collapsed="false">
      <c r="A22" s="11" t="s">
        <v>22</v>
      </c>
      <c r="B22" s="12" t="n">
        <v>50</v>
      </c>
      <c r="C22" s="12" t="n">
        <v>65</v>
      </c>
    </row>
    <row r="23" customFormat="false" ht="15" hidden="false" customHeight="false" outlineLevel="0" collapsed="false">
      <c r="A23" s="11" t="s">
        <v>23</v>
      </c>
      <c r="B23" s="12" t="n">
        <v>45</v>
      </c>
      <c r="C23" s="12" t="n">
        <v>55</v>
      </c>
    </row>
    <row r="24" customFormat="false" ht="15" hidden="false" customHeight="false" outlineLevel="0" collapsed="false">
      <c r="A24" s="11" t="s">
        <v>13</v>
      </c>
      <c r="B24" s="12" t="n">
        <v>40</v>
      </c>
      <c r="C24" s="12" t="n">
        <v>50</v>
      </c>
    </row>
    <row r="25" customFormat="false" ht="15" hidden="false" customHeight="false" outlineLevel="0" collapsed="false">
      <c r="A25" s="11" t="s">
        <v>24</v>
      </c>
      <c r="B25" s="12" t="n">
        <v>75</v>
      </c>
      <c r="C25" s="12" t="n">
        <v>75</v>
      </c>
    </row>
    <row r="26" customFormat="false" ht="15" hidden="false" customHeight="false" outlineLevel="0" collapsed="false">
      <c r="A26" s="11" t="s">
        <v>25</v>
      </c>
      <c r="B26" s="12" t="n">
        <v>95</v>
      </c>
      <c r="C26" s="12" t="n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10" t="s">
        <v>19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</row>
    <row r="4" customFormat="false" ht="15" hidden="false" customHeight="false" outlineLevel="0" collapsed="false">
      <c r="A4" s="11" t="s">
        <v>22</v>
      </c>
      <c r="B4" s="13" t="n">
        <f aca="false">Inputs!B11</f>
        <v>1</v>
      </c>
      <c r="C4" s="14" t="n">
        <f aca="false">Inputs!B22</f>
        <v>50</v>
      </c>
      <c r="D4" s="14" t="n">
        <f aca="false">Inputs!C22</f>
        <v>65</v>
      </c>
      <c r="E4" s="15" t="n">
        <f aca="false">(D4-C4)/C4</f>
        <v>0.3</v>
      </c>
      <c r="F4" s="14" t="n">
        <f aca="false">Inputs!B18</f>
        <v>75</v>
      </c>
      <c r="G4" s="16" t="n">
        <f aca="false">Inputs!B8</f>
        <v>18.5</v>
      </c>
      <c r="H4" s="16" t="n">
        <f aca="false">C4-G4</f>
        <v>31.5</v>
      </c>
      <c r="I4" s="15" t="n">
        <f aca="false">H4/C4</f>
        <v>0.63</v>
      </c>
      <c r="J4" s="16" t="n">
        <f aca="false">D4-G4</f>
        <v>46.5</v>
      </c>
      <c r="K4" s="15" t="n">
        <f aca="false">J4/D4</f>
        <v>0.715384615384615</v>
      </c>
    </row>
    <row r="5" customFormat="false" ht="15" hidden="false" customHeight="false" outlineLevel="0" collapsed="false">
      <c r="A5" s="11" t="s">
        <v>23</v>
      </c>
      <c r="B5" s="13" t="n">
        <f aca="false">Inputs!B12</f>
        <v>2.17</v>
      </c>
      <c r="C5" s="14" t="n">
        <f aca="false">Inputs!B23</f>
        <v>45</v>
      </c>
      <c r="D5" s="14" t="n">
        <f aca="false">Inputs!C23</f>
        <v>55</v>
      </c>
      <c r="E5" s="15" t="n">
        <f aca="false">(D5-C5)/C5</f>
        <v>0.222222222222222</v>
      </c>
      <c r="F5" s="14" t="n">
        <f aca="false">Inputs!B18</f>
        <v>75</v>
      </c>
      <c r="G5" s="16" t="n">
        <f aca="false">Inputs!B8</f>
        <v>18.5</v>
      </c>
      <c r="H5" s="16" t="n">
        <f aca="false">C5-G5</f>
        <v>26.5</v>
      </c>
      <c r="I5" s="15" t="n">
        <f aca="false">H5/C5</f>
        <v>0.588888888888889</v>
      </c>
      <c r="J5" s="16" t="n">
        <f aca="false">D5-G5</f>
        <v>36.5</v>
      </c>
      <c r="K5" s="15" t="n">
        <f aca="false">J5/D5</f>
        <v>0.663636363636364</v>
      </c>
    </row>
    <row r="6" customFormat="false" ht="15" hidden="false" customHeight="false" outlineLevel="0" collapsed="false">
      <c r="A6" s="11" t="s">
        <v>13</v>
      </c>
      <c r="B6" s="13" t="n">
        <f aca="false">Inputs!B13</f>
        <v>4.33</v>
      </c>
      <c r="C6" s="14" t="n">
        <f aca="false">Inputs!B24</f>
        <v>40</v>
      </c>
      <c r="D6" s="14" t="n">
        <f aca="false">Inputs!C24</f>
        <v>50</v>
      </c>
      <c r="E6" s="15" t="n">
        <f aca="false">(D6-C6)/C6</f>
        <v>0.25</v>
      </c>
      <c r="F6" s="14" t="n">
        <f aca="false">Inputs!B18</f>
        <v>75</v>
      </c>
      <c r="G6" s="16" t="n">
        <f aca="false">Inputs!B8</f>
        <v>18.5</v>
      </c>
      <c r="H6" s="16" t="n">
        <f aca="false">C6-G6</f>
        <v>21.5</v>
      </c>
      <c r="I6" s="15" t="n">
        <f aca="false">H6/C6</f>
        <v>0.5375</v>
      </c>
      <c r="J6" s="16" t="n">
        <f aca="false">D6-G6</f>
        <v>31.5</v>
      </c>
      <c r="K6" s="15" t="n">
        <f aca="false">J6/D6</f>
        <v>0.63</v>
      </c>
    </row>
    <row r="7" customFormat="false" ht="15" hidden="false" customHeight="false" outlineLevel="0" collapsed="false">
      <c r="A7" s="11" t="s">
        <v>24</v>
      </c>
      <c r="B7" s="11"/>
      <c r="C7" s="14" t="n">
        <f aca="false">Inputs!B25</f>
        <v>75</v>
      </c>
      <c r="D7" s="14" t="n">
        <f aca="false">Inputs!C25</f>
        <v>75</v>
      </c>
      <c r="E7" s="15" t="n">
        <f aca="false">(D7-C7)/C7</f>
        <v>0</v>
      </c>
      <c r="F7" s="14" t="n">
        <f aca="false">Inputs!B18</f>
        <v>75</v>
      </c>
      <c r="G7" s="16" t="n">
        <f aca="false">Inputs!B8</f>
        <v>18.5</v>
      </c>
      <c r="H7" s="16" t="n">
        <f aca="false">C7-G7</f>
        <v>56.5</v>
      </c>
      <c r="I7" s="15" t="n">
        <f aca="false">H7/C7</f>
        <v>0.753333333333333</v>
      </c>
      <c r="J7" s="16" t="n">
        <f aca="false">D7-G7</f>
        <v>56.5</v>
      </c>
      <c r="K7" s="15" t="n">
        <f aca="false">J7/D7</f>
        <v>0.753333333333333</v>
      </c>
    </row>
    <row r="8" customFormat="false" ht="15" hidden="false" customHeight="false" outlineLevel="0" collapsed="false">
      <c r="A8" s="11" t="s">
        <v>25</v>
      </c>
      <c r="B8" s="11"/>
      <c r="C8" s="14" t="n">
        <f aca="false">Inputs!B26</f>
        <v>95</v>
      </c>
      <c r="D8" s="14" t="n">
        <f aca="false">Inputs!C26</f>
        <v>95</v>
      </c>
      <c r="E8" s="15" t="n">
        <f aca="false">(D8-C8)/C8</f>
        <v>0</v>
      </c>
      <c r="F8" s="14" t="n">
        <f aca="false">Inputs!B18</f>
        <v>75</v>
      </c>
      <c r="G8" s="16" t="n">
        <f aca="false">Inputs!B8</f>
        <v>18.5</v>
      </c>
      <c r="H8" s="16" t="n">
        <f aca="false">C8-G8</f>
        <v>76.5</v>
      </c>
      <c r="I8" s="15" t="n">
        <f aca="false">H8/C8</f>
        <v>0.805263157894737</v>
      </c>
      <c r="J8" s="16" t="n">
        <f aca="false">D8-G8</f>
        <v>76.5</v>
      </c>
      <c r="K8" s="15" t="n">
        <f aca="false">J8/D8</f>
        <v>0.805263157894737</v>
      </c>
    </row>
    <row r="10" customFormat="false" ht="15" hidden="false" customHeight="false" outlineLevel="0" collapsed="false">
      <c r="A1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</row>
    <row r="4" customFormat="false" ht="15" hidden="false" customHeight="false" outlineLevel="0" collapsed="false">
      <c r="A4" s="10" t="s">
        <v>19</v>
      </c>
      <c r="B4" s="10" t="s">
        <v>27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</row>
    <row r="5" customFormat="false" ht="15" hidden="false" customHeight="false" outlineLevel="0" collapsed="false">
      <c r="A5" s="11" t="s">
        <v>22</v>
      </c>
      <c r="B5" s="13" t="n">
        <f aca="false">Inputs!B11</f>
        <v>1</v>
      </c>
      <c r="C5" s="14" t="n">
        <f aca="false">Inputs!B22*Inputs!B11</f>
        <v>50</v>
      </c>
      <c r="D5" s="14" t="n">
        <f aca="false">Inputs!C22*Inputs!B11</f>
        <v>65</v>
      </c>
      <c r="E5" s="14" t="n">
        <f aca="false">D5-C5</f>
        <v>15</v>
      </c>
      <c r="F5" s="14" t="n">
        <f aca="false">C5*12</f>
        <v>600</v>
      </c>
      <c r="G5" s="14" t="n">
        <f aca="false">D5*12</f>
        <v>780</v>
      </c>
    </row>
    <row r="6" customFormat="false" ht="15" hidden="false" customHeight="false" outlineLevel="0" collapsed="false">
      <c r="A6" s="11" t="s">
        <v>23</v>
      </c>
      <c r="B6" s="13" t="n">
        <f aca="false">Inputs!B12</f>
        <v>2.17</v>
      </c>
      <c r="C6" s="14" t="n">
        <f aca="false">Inputs!B23*Inputs!B12</f>
        <v>97.65</v>
      </c>
      <c r="D6" s="14" t="n">
        <f aca="false">Inputs!C23*Inputs!B12</f>
        <v>119.35</v>
      </c>
      <c r="E6" s="14" t="n">
        <f aca="false">D6-C6</f>
        <v>21.7</v>
      </c>
      <c r="F6" s="14" t="n">
        <f aca="false">C6*12</f>
        <v>1171.8</v>
      </c>
      <c r="G6" s="14" t="n">
        <f aca="false">D6*12</f>
        <v>1432.2</v>
      </c>
    </row>
    <row r="7" customFormat="false" ht="15" hidden="false" customHeight="false" outlineLevel="0" collapsed="false">
      <c r="A7" s="11" t="s">
        <v>13</v>
      </c>
      <c r="B7" s="13" t="n">
        <f aca="false">Inputs!B13</f>
        <v>4.33</v>
      </c>
      <c r="C7" s="14" t="n">
        <f aca="false">Inputs!B24*Inputs!B13</f>
        <v>173.2</v>
      </c>
      <c r="D7" s="14" t="n">
        <f aca="false">Inputs!C24*Inputs!B13</f>
        <v>216.5</v>
      </c>
      <c r="E7" s="14" t="n">
        <f aca="false">D7-C7</f>
        <v>43.3</v>
      </c>
      <c r="F7" s="14" t="n">
        <f aca="false">C7*12</f>
        <v>2078.4</v>
      </c>
      <c r="G7" s="14" t="n">
        <f aca="false">D7*12</f>
        <v>2598</v>
      </c>
    </row>
    <row r="10" customFormat="false" ht="15" hidden="false" customHeight="false" outlineLevel="0" collapsed="false">
      <c r="A10" s="3" t="s">
        <v>45</v>
      </c>
    </row>
    <row r="11" customFormat="false" ht="15" hidden="false" customHeight="false" outlineLevel="0" collapsed="false">
      <c r="A11" s="0" t="s">
        <v>46</v>
      </c>
      <c r="B11" s="17" t="n">
        <v>0.5</v>
      </c>
    </row>
    <row r="12" customFormat="false" ht="15" hidden="false" customHeight="false" outlineLevel="0" collapsed="false">
      <c r="A12" s="0" t="s">
        <v>47</v>
      </c>
      <c r="B12" s="17" t="n">
        <v>0.3</v>
      </c>
    </row>
    <row r="13" customFormat="false" ht="15" hidden="false" customHeight="false" outlineLevel="0" collapsed="false">
      <c r="A13" s="0" t="s">
        <v>48</v>
      </c>
      <c r="B13" s="17" t="n">
        <v>0.2</v>
      </c>
    </row>
    <row r="14" customFormat="false" ht="15" hidden="false" customHeight="false" outlineLevel="0" collapsed="false">
      <c r="A14" s="0" t="s">
        <v>49</v>
      </c>
      <c r="B14" s="18" t="n">
        <f aca="false">SUM(B11:B13)</f>
        <v>1</v>
      </c>
    </row>
    <row r="16" customFormat="false" ht="15" hidden="false" customHeight="false" outlineLevel="0" collapsed="false">
      <c r="A16" s="0" t="s">
        <v>50</v>
      </c>
      <c r="B16" s="9" t="n">
        <f aca="false">B11*C5+B12*C6+B13*C7</f>
        <v>88.935</v>
      </c>
    </row>
    <row r="17" customFormat="false" ht="15" hidden="false" customHeight="false" outlineLevel="0" collapsed="false">
      <c r="A17" s="0" t="s">
        <v>51</v>
      </c>
      <c r="B17" s="9" t="n">
        <f aca="false">B11*D5+B12*D6+B13*D7</f>
        <v>111.605</v>
      </c>
    </row>
    <row r="19" customFormat="false" ht="15" hidden="false" customHeight="false" outlineLevel="0" collapsed="false">
      <c r="A19" s="3" t="s">
        <v>52</v>
      </c>
    </row>
    <row r="20" customFormat="false" ht="15" hidden="false" customHeight="false" outlineLevel="0" collapsed="false">
      <c r="A20" s="10" t="s">
        <v>53</v>
      </c>
      <c r="B20" s="10" t="s">
        <v>54</v>
      </c>
      <c r="C20" s="10" t="s">
        <v>55</v>
      </c>
      <c r="D20" s="10" t="s">
        <v>56</v>
      </c>
      <c r="E20" s="10" t="s">
        <v>57</v>
      </c>
    </row>
    <row r="21" customFormat="false" ht="15" hidden="false" customHeight="false" outlineLevel="0" collapsed="false">
      <c r="A21" s="19" t="n">
        <v>5</v>
      </c>
      <c r="B21" s="14" t="n">
        <f aca="false">A21*$B$16</f>
        <v>444.675</v>
      </c>
      <c r="C21" s="14" t="n">
        <f aca="false">A21*$B$17</f>
        <v>558.025</v>
      </c>
      <c r="D21" s="14" t="n">
        <f aca="false">C21-B21</f>
        <v>113.35</v>
      </c>
      <c r="E21" s="14" t="n">
        <f aca="false">D21*12</f>
        <v>1360.2</v>
      </c>
    </row>
    <row r="22" customFormat="false" ht="15" hidden="false" customHeight="false" outlineLevel="0" collapsed="false">
      <c r="A22" s="19" t="n">
        <v>10</v>
      </c>
      <c r="B22" s="14" t="n">
        <f aca="false">A22*$B$16</f>
        <v>889.35</v>
      </c>
      <c r="C22" s="14" t="n">
        <f aca="false">A22*$B$17</f>
        <v>1116.05</v>
      </c>
      <c r="D22" s="14" t="n">
        <f aca="false">C22-B22</f>
        <v>226.7</v>
      </c>
      <c r="E22" s="14" t="n">
        <f aca="false">D22*12</f>
        <v>2720.4</v>
      </c>
    </row>
    <row r="23" customFormat="false" ht="15" hidden="false" customHeight="false" outlineLevel="0" collapsed="false">
      <c r="A23" s="19" t="n">
        <v>20</v>
      </c>
      <c r="B23" s="14" t="n">
        <f aca="false">A23*$B$16</f>
        <v>1778.7</v>
      </c>
      <c r="C23" s="14" t="n">
        <f aca="false">A23*$B$17</f>
        <v>2232.1</v>
      </c>
      <c r="D23" s="14" t="n">
        <f aca="false">C23-B23</f>
        <v>453.4</v>
      </c>
      <c r="E23" s="14" t="n">
        <f aca="false">D23*12</f>
        <v>5440.8</v>
      </c>
    </row>
    <row r="24" customFormat="false" ht="15" hidden="false" customHeight="false" outlineLevel="0" collapsed="false">
      <c r="A24" s="19" t="n">
        <v>30</v>
      </c>
      <c r="B24" s="14" t="n">
        <f aca="false">A24*$B$16</f>
        <v>2668.05</v>
      </c>
      <c r="C24" s="14" t="n">
        <f aca="false">A24*$B$17</f>
        <v>3348.15</v>
      </c>
      <c r="D24" s="14" t="n">
        <f aca="false">C24-B24</f>
        <v>680.1</v>
      </c>
      <c r="E24" s="14" t="n">
        <f aca="false">D24*12</f>
        <v>8161.2</v>
      </c>
    </row>
    <row r="26" customFormat="false" ht="15" hidden="false" customHeight="false" outlineLevel="0" collapsed="false">
      <c r="A26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6" t="s">
        <v>60</v>
      </c>
    </row>
    <row r="4" customFormat="false" ht="15" hidden="false" customHeight="false" outlineLevel="0" collapsed="false">
      <c r="A4" s="0" t="s">
        <v>61</v>
      </c>
    </row>
    <row r="5" customFormat="false" ht="15" hidden="false" customHeight="false" outlineLevel="0" collapsed="false">
      <c r="A5" s="0" t="s">
        <v>62</v>
      </c>
    </row>
    <row r="6" customFormat="false" ht="15" hidden="false" customHeight="false" outlineLevel="0" collapsed="false">
      <c r="A6" s="0" t="s">
        <v>63</v>
      </c>
    </row>
    <row r="8" customFormat="false" ht="15" hidden="false" customHeight="false" outlineLevel="0" collapsed="false">
      <c r="A8" s="6" t="s">
        <v>64</v>
      </c>
    </row>
    <row r="9" customFormat="false" ht="15" hidden="false" customHeight="false" outlineLevel="0" collapsed="false">
      <c r="A9" s="0" t="s">
        <v>65</v>
      </c>
    </row>
    <row r="10" customFormat="false" ht="15" hidden="false" customHeight="false" outlineLevel="0" collapsed="false">
      <c r="A10" s="0" t="s">
        <v>66</v>
      </c>
    </row>
    <row r="11" customFormat="false" ht="15" hidden="false" customHeight="false" outlineLevel="0" collapsed="false">
      <c r="A11" s="0" t="s">
        <v>67</v>
      </c>
    </row>
    <row r="13" customFormat="false" ht="15" hidden="false" customHeight="false" outlineLevel="0" collapsed="false">
      <c r="A13" s="6" t="s">
        <v>68</v>
      </c>
    </row>
    <row r="14" customFormat="false" ht="15" hidden="false" customHeight="false" outlineLevel="0" collapsed="false">
      <c r="A14" s="0" t="s">
        <v>69</v>
      </c>
    </row>
    <row r="15" customFormat="false" ht="15" hidden="false" customHeight="false" outlineLevel="0" collapsed="false">
      <c r="A15" s="0" t="s">
        <v>70</v>
      </c>
    </row>
    <row r="16" customFormat="false" ht="15" hidden="false" customHeight="false" outlineLevel="0" collapsed="false">
      <c r="A16" s="0" t="s">
        <v>71</v>
      </c>
    </row>
    <row r="17" customFormat="false" ht="15" hidden="false" customHeight="false" outlineLevel="0" collapsed="false">
      <c r="A17" s="0" t="s">
        <v>72</v>
      </c>
    </row>
    <row r="19" customFormat="false" ht="15" hidden="false" customHeight="false" outlineLevel="0" collapsed="false">
      <c r="A19" s="6" t="s">
        <v>73</v>
      </c>
    </row>
    <row r="20" customFormat="false" ht="15" hidden="false" customHeight="false" outlineLevel="0" collapsed="false">
      <c r="A20" s="0" t="s">
        <v>74</v>
      </c>
    </row>
    <row r="21" customFormat="false" ht="15" hidden="false" customHeight="false" outlineLevel="0" collapsed="false">
      <c r="A21" s="0" t="s">
        <v>75</v>
      </c>
    </row>
    <row r="22" customFormat="false" ht="15" hidden="false" customHeight="false" outlineLevel="0" collapsed="false">
      <c r="A22" s="0" t="s">
        <v>76</v>
      </c>
    </row>
    <row r="23" customFormat="false" ht="15" hidden="false" customHeight="false" outlineLevel="0" collapsed="false">
      <c r="A23" s="0" t="s">
        <v>77</v>
      </c>
    </row>
    <row r="25" customFormat="false" ht="15" hidden="false" customHeight="false" outlineLevel="0" collapsed="false">
      <c r="A25" s="6" t="s">
        <v>78</v>
      </c>
    </row>
    <row r="26" customFormat="false" ht="15" hidden="false" customHeight="false" outlineLevel="0" collapsed="false">
      <c r="A26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2026-05-31T06:14:38Z</dcterms:created>
  <dc:creator>openpyxl</dc:creator>
  <dc:description/>
  <dc:language>en-US</dc:language>
  <cp:lastModifiedBy/>
  <dcterms:modified xsi:type="dcterms:W3CDTF">2026-05-31T06:14:38Z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