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peline" sheetId="1" state="visible" r:id="rId3"/>
    <sheet name="Dashboard" sheetId="2" state="visible" r:id="rId4"/>
  </sheets>
  <definedNames>
    <definedName function="false" hidden="true" localSheetId="0" name="_xlnm._FilterDatabase" vbProcedure="false">Pipeline!$A$4:$N$24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<sst xmlns="http://schemas.openxmlformats.org/spreadsheetml/2006/main" count="232" uniqueCount="130">
  <si>
    <t xml:space="preserve">OBX Lot Solutions — PM Call-Sheet &amp; Pipeline Tracker</t>
  </si>
  <si>
    <t xml:space="preserve">Work top-down. ★ = verified phone, call now. 'verify' = confirm number on website first. Set Status from the dropdown after each call.</t>
  </si>
  <si>
    <t xml:space="preserve">#</t>
  </si>
  <si>
    <t xml:space="preserve">Pri</t>
  </si>
  <si>
    <t xml:space="preserve">Company</t>
  </si>
  <si>
    <t xml:space="preserve">Type / portfolio</t>
  </si>
  <si>
    <t xml:space="preserve">Towns</t>
  </si>
  <si>
    <t xml:space="preserve">Phone</t>
  </si>
  <si>
    <t xml:space="preserve">Website</t>
  </si>
  <si>
    <t xml:space="preserve">Decision-maker (ask for)</t>
  </si>
  <si>
    <t xml:space="preserve">Pitch</t>
  </si>
  <si>
    <t xml:space="preserve">Best call time</t>
  </si>
  <si>
    <t xml:space="preserve">Status</t>
  </si>
  <si>
    <t xml:space="preserve">Last contact</t>
  </si>
  <si>
    <t xml:space="preserve">Next action</t>
  </si>
  <si>
    <t xml:space="preserve">Notes</t>
  </si>
  <si>
    <t xml:space="preserve">★</t>
  </si>
  <si>
    <t xml:space="preserve">Joe Lamb Jr. &amp; Associates</t>
  </si>
  <si>
    <t xml:space="preserve">Residential &amp; commercial</t>
  </si>
  <si>
    <t xml:space="preserve">Kitty Hawk</t>
  </si>
  <si>
    <t xml:space="preserve">(252) 261-4444</t>
  </si>
  <si>
    <t xml:space="preserve">joelambjr.com</t>
  </si>
  <si>
    <t xml:space="preserve">Property-management manager</t>
  </si>
  <si>
    <t xml:space="preserve">Watch-first</t>
  </si>
  <si>
    <t xml:space="preserve">Tue–Thu 9–11a / 1:30–4p</t>
  </si>
  <si>
    <t xml:space="preserve">To-call</t>
  </si>
  <si>
    <t xml:space="preserve">Seaside Management</t>
  </si>
  <si>
    <t xml:space="preserve">HOA / condo / commercial</t>
  </si>
  <si>
    <t xml:space="preserve">Kitty Hawk (whole OBX)</t>
  </si>
  <si>
    <t xml:space="preserve">(252) 261-1200</t>
  </si>
  <si>
    <t xml:space="preserve">seaside-management.com</t>
  </si>
  <si>
    <t xml:space="preserve">Common-area / HOA manager</t>
  </si>
  <si>
    <t xml:space="preserve">Signature Touch Property Mgmt</t>
  </si>
  <si>
    <t xml:space="preserve">HOA / association</t>
  </si>
  <si>
    <t xml:space="preserve">Currituck &amp; Dare</t>
  </si>
  <si>
    <t xml:space="preserve">(252) 441-8857</t>
  </si>
  <si>
    <t xml:space="preserve">signaturetouchobx.com</t>
  </si>
  <si>
    <t xml:space="preserve">Association manager</t>
  </si>
  <si>
    <t xml:space="preserve">Washing-first</t>
  </si>
  <si>
    <t xml:space="preserve">Harrell &amp; Associates</t>
  </si>
  <si>
    <t xml:space="preserve">Nags Head</t>
  </si>
  <si>
    <t xml:space="preserve">(252) 441-7887</t>
  </si>
  <si>
    <t xml:space="preserve">harrellandassociates.com</t>
  </si>
  <si>
    <t xml:space="preserve">Commercial / PM manager</t>
  </si>
  <si>
    <t xml:space="preserve">Twiddy &amp; Company</t>
  </si>
  <si>
    <t xml:space="preserve">VRM — largest OBX selection</t>
  </si>
  <si>
    <t xml:space="preserve">Corolla, Duck</t>
  </si>
  <si>
    <t xml:space="preserve">(252) 457-1110</t>
  </si>
  <si>
    <t xml:space="preserve">twiddy.com</t>
  </si>
  <si>
    <t xml:space="preserve">Maintenance / property-services</t>
  </si>
  <si>
    <t xml:space="preserve">Seaside Vacations</t>
  </si>
  <si>
    <t xml:space="preserve">Full-service PM since 1990</t>
  </si>
  <si>
    <t xml:space="preserve">Kitty Hawk, KDH</t>
  </si>
  <si>
    <t xml:space="preserve">(800) 395-2525</t>
  </si>
  <si>
    <t xml:space="preserve">outerbanksvacations.com</t>
  </si>
  <si>
    <t xml:space="preserve">Brindley Beach Vacations &amp; Sales</t>
  </si>
  <si>
    <t xml:space="preserve">VRM / PM, multi-town</t>
  </si>
  <si>
    <t xml:space="preserve">Corolla, Duck, KH, KDH</t>
  </si>
  <si>
    <t xml:space="preserve">(252) 453-3335</t>
  </si>
  <si>
    <t xml:space="preserve">brindleybeach.com</t>
  </si>
  <si>
    <t xml:space="preserve">Carolina Designs Realty</t>
  </si>
  <si>
    <t xml:space="preserve">VRM — Duck (upscale)</t>
  </si>
  <si>
    <t xml:space="preserve">Duck</t>
  </si>
  <si>
    <t xml:space="preserve">(800) 368-3825</t>
  </si>
  <si>
    <t xml:space="preserve">carolinadesigns.com</t>
  </si>
  <si>
    <t xml:space="preserve">Atlantic Realty of the OBX</t>
  </si>
  <si>
    <t xml:space="preserve">PM since 1982</t>
  </si>
  <si>
    <t xml:space="preserve">(252) 680-1815</t>
  </si>
  <si>
    <t xml:space="preserve">atlanticrealty-nc.com</t>
  </si>
  <si>
    <t xml:space="preserve">Kim Franks Lawn &amp; Landscaping</t>
  </si>
  <si>
    <t xml:space="preserve">Landscaping (partner)</t>
  </si>
  <si>
    <t xml:space="preserve">KDH,KH,NH,SS,Duck,Corolla</t>
  </si>
  <si>
    <t xml:space="preserve">(252) 573-9374</t>
  </si>
  <si>
    <t xml:space="preserve">kimfrankslandscaping.com</t>
  </si>
  <si>
    <t xml:space="preserve">Owner / operations</t>
  </si>
  <si>
    <t xml:space="preserve">Referral</t>
  </si>
  <si>
    <t xml:space="preserve">verify</t>
  </si>
  <si>
    <t xml:space="preserve">Resort Realty</t>
  </si>
  <si>
    <t xml:space="preserve">VRM, 615+ homes</t>
  </si>
  <si>
    <t xml:space="preserve">Corolla→Nags Head + Hatteras</t>
  </si>
  <si>
    <t xml:space="preserve">verify on site</t>
  </si>
  <si>
    <t xml:space="preserve">resortrealty.com</t>
  </si>
  <si>
    <t xml:space="preserve">Southern Shores Realty</t>
  </si>
  <si>
    <t xml:space="preserve">VRM, 300+</t>
  </si>
  <si>
    <t xml:space="preserve">Corolla→Nags Head</t>
  </si>
  <si>
    <t xml:space="preserve">southernshores.com</t>
  </si>
  <si>
    <t xml:space="preserve">Stan White Realty &amp; Const.</t>
  </si>
  <si>
    <t xml:space="preserve">VRM, 300+ (+ construction)</t>
  </si>
  <si>
    <t xml:space="preserve">Nags Head→Corolla</t>
  </si>
  <si>
    <t xml:space="preserve">stanwhite.com</t>
  </si>
  <si>
    <t xml:space="preserve">Maintenance coordinator</t>
  </si>
  <si>
    <t xml:space="preserve">KEES</t>
  </si>
  <si>
    <t xml:space="preserve">VRM, 300+ (growing)</t>
  </si>
  <si>
    <t xml:space="preserve">NH,KH,Corolla,KDH,Duck</t>
  </si>
  <si>
    <t xml:space="preserve">keesouterbanks.com</t>
  </si>
  <si>
    <t xml:space="preserve">Maintenance ops</t>
  </si>
  <si>
    <t xml:space="preserve">Sun Realty</t>
  </si>
  <si>
    <t xml:space="preserve">VRM, large</t>
  </si>
  <si>
    <t xml:space="preserve">OBX-wide</t>
  </si>
  <si>
    <t xml:space="preserve">sunrealtync.com</t>
  </si>
  <si>
    <t xml:space="preserve">Property-services / maintenance</t>
  </si>
  <si>
    <t xml:space="preserve">Outer Banks Blue</t>
  </si>
  <si>
    <t xml:space="preserve">VRM, 250+</t>
  </si>
  <si>
    <t xml:space="preserve">outerbanksblue.com</t>
  </si>
  <si>
    <t xml:space="preserve">Village Realty</t>
  </si>
  <si>
    <t xml:space="preserve">VRM</t>
  </si>
  <si>
    <t xml:space="preserve">villagerealtyobx.com</t>
  </si>
  <si>
    <t xml:space="preserve">Property-management division</t>
  </si>
  <si>
    <t xml:space="preserve">Beach Realty &amp; Construction</t>
  </si>
  <si>
    <t xml:space="preserve">VRM (+ construction)</t>
  </si>
  <si>
    <t xml:space="preserve">Carova→Nags Head</t>
  </si>
  <si>
    <t xml:space="preserve">beachrealtync.com</t>
  </si>
  <si>
    <t xml:space="preserve">Cove Realty</t>
  </si>
  <si>
    <t xml:space="preserve">VRM (smaller/local)</t>
  </si>
  <si>
    <t xml:space="preserve">coverealty.com</t>
  </si>
  <si>
    <t xml:space="preserve">Owner / maintenance</t>
  </si>
  <si>
    <t xml:space="preserve">Crew Cutters OBX</t>
  </si>
  <si>
    <t xml:space="preserve">crewcuttersobx.com</t>
  </si>
  <si>
    <t xml:space="preserve">Pipeline Dashboard</t>
  </si>
  <si>
    <t xml:space="preserve">By status</t>
  </si>
  <si>
    <t xml:space="preserve">By pitch</t>
  </si>
  <si>
    <t xml:space="preserve">Contacted</t>
  </si>
  <si>
    <t xml:space="preserve">Callback</t>
  </si>
  <si>
    <t xml:space="preserve">Quoted</t>
  </si>
  <si>
    <t xml:space="preserve">Won</t>
  </si>
  <si>
    <t xml:space="preserve">Call-now (★)</t>
  </si>
  <si>
    <t xml:space="preserve">Lost</t>
  </si>
  <si>
    <t xml:space="preserve">Total targets</t>
  </si>
  <si>
    <t xml:space="preserve">Win rate (Won / contacted+)</t>
  </si>
  <si>
    <t xml:space="preserve">Goal: book 2–3 walkthroughs/week. Move every 'Contacted' to 'Quoted' within a week. Log a Callback date in Next action.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</si>
</sst>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E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8A6D0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2A4E"/>
        <bgColor rgb="FF003366"/>
      </patternFill>
    </fill>
    <fill>
      <patternFill patternType="solid">
        <fgColor rgb="FF8BC34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B2A4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A6D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ont>
        <name val="Arial"/>
        <charset val="1"/>
        <family val="0"/>
        <color rgb="FFFFFFFF"/>
      </font>
      <fill>
        <patternFill>
          <bgColor rgb="FF2E7D32"/>
        </patternFill>
      </fill>
    </dxf>
    <dxf>
      <font>
        <name val="Arial"/>
        <charset val="1"/>
        <family val="0"/>
        <color rgb="FFFFFFFF"/>
      </font>
      <fill>
        <patternFill>
          <bgColor rgb="FFC0392B"/>
        </patternFill>
      </fill>
    </dxf>
    <dxf>
      <font>
        <name val="Arial"/>
        <charset val="1"/>
        <family val="0"/>
        <color rgb="FF000000"/>
      </font>
      <fill>
        <patternFill>
          <bgColor rgb="FFFFF3B0"/>
        </patternFill>
      </fill>
    </dxf>
    <dxf>
      <font>
        <name val="Arial"/>
        <charset val="1"/>
        <family val="0"/>
        <color rgb="FF000000"/>
      </font>
      <fill>
        <patternFill>
          <bgColor rgb="FFD6E4F0"/>
        </patternFill>
      </fill>
    </dxf>
    <dxf>
      <font>
        <name val="Arial"/>
        <charset val="1"/>
        <family val="0"/>
        <color rgb="FF000000"/>
      </font>
      <fill>
        <patternFill>
          <bgColor rgb="FFFCE5CD"/>
        </patternFill>
      </fill>
    </dxf>
    <dxf>
      <font>
        <name val="Arial"/>
        <charset val="1"/>
        <family val="0"/>
        <color rgb="FF666666"/>
      </font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CE5CD"/>
      <rgbColor rgb="FF3366FF"/>
      <rgbColor rgb="FF33CCCC"/>
      <rgbColor rgb="FF8BC34A"/>
      <rgbColor rgb="FFFFCC00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C0392B"/>
      <rgbColor rgb="FF993366"/>
      <rgbColor rgb="FF333399"/>
      <rgbColor rgb="FF1B2A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5" min="4" style="0" width="26"/>
    <col collapsed="false" customWidth="true" hidden="false" outlineLevel="0" max="6" min="6" style="0" width="17"/>
    <col collapsed="false" customWidth="true" hidden="false" outlineLevel="0" max="7" min="7" style="0" width="22"/>
    <col collapsed="false" customWidth="true" hidden="false" outlineLevel="0" max="8" min="8" style="0" width="26"/>
    <col collapsed="false" customWidth="true" hidden="false" outlineLevel="0" max="9" min="9" style="0" width="13"/>
    <col collapsed="false" customWidth="true" hidden="false" outlineLevel="0" max="10" min="10" style="0" width="22"/>
    <col collapsed="false" customWidth="true" hidden="false" outlineLevel="0" max="12" min="11" style="0" width="13"/>
    <col collapsed="false" customWidth="true" hidden="false" outlineLevel="0" max="13" min="13" style="0" width="24"/>
    <col collapsed="false" customWidth="true" hidden="false" outlineLevel="0" max="14" min="14" style="0" width="2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23.85" hidden="false" customHeight="false" outlineLevel="0" collapsed="false">
      <c r="A5" s="4" t="n">
        <v>1</v>
      </c>
      <c r="B5" s="5" t="s">
        <v>16</v>
      </c>
      <c r="C5" s="6" t="s">
        <v>17</v>
      </c>
      <c r="D5" s="6" t="s">
        <v>18</v>
      </c>
      <c r="E5" s="6" t="s">
        <v>19</v>
      </c>
      <c r="F5" s="7" t="s">
        <v>20</v>
      </c>
      <c r="G5" s="7" t="s">
        <v>21</v>
      </c>
      <c r="H5" s="6" t="s">
        <v>22</v>
      </c>
      <c r="I5" s="4" t="s">
        <v>23</v>
      </c>
      <c r="J5" s="7" t="s">
        <v>24</v>
      </c>
      <c r="K5" s="4" t="s">
        <v>25</v>
      </c>
      <c r="L5" s="7"/>
      <c r="M5" s="6"/>
      <c r="N5" s="6"/>
    </row>
    <row r="6" customFormat="false" ht="15" hidden="false" customHeight="false" outlineLevel="0" collapsed="false">
      <c r="A6" s="4" t="n">
        <v>2</v>
      </c>
      <c r="B6" s="5" t="s">
        <v>16</v>
      </c>
      <c r="C6" s="6" t="s">
        <v>26</v>
      </c>
      <c r="D6" s="6" t="s">
        <v>27</v>
      </c>
      <c r="E6" s="6" t="s">
        <v>28</v>
      </c>
      <c r="F6" s="7" t="s">
        <v>29</v>
      </c>
      <c r="G6" s="7" t="s">
        <v>30</v>
      </c>
      <c r="H6" s="6" t="s">
        <v>31</v>
      </c>
      <c r="I6" s="4" t="s">
        <v>23</v>
      </c>
      <c r="J6" s="7" t="s">
        <v>24</v>
      </c>
      <c r="K6" s="4" t="s">
        <v>25</v>
      </c>
      <c r="L6" s="7"/>
      <c r="M6" s="6"/>
      <c r="N6" s="6"/>
    </row>
    <row r="7" customFormat="false" ht="15" hidden="false" customHeight="false" outlineLevel="0" collapsed="false">
      <c r="A7" s="4" t="n">
        <v>3</v>
      </c>
      <c r="B7" s="5" t="s">
        <v>16</v>
      </c>
      <c r="C7" s="6" t="s">
        <v>32</v>
      </c>
      <c r="D7" s="6" t="s">
        <v>33</v>
      </c>
      <c r="E7" s="6" t="s">
        <v>34</v>
      </c>
      <c r="F7" s="7" t="s">
        <v>35</v>
      </c>
      <c r="G7" s="7" t="s">
        <v>36</v>
      </c>
      <c r="H7" s="6" t="s">
        <v>37</v>
      </c>
      <c r="I7" s="4" t="s">
        <v>38</v>
      </c>
      <c r="J7" s="7" t="s">
        <v>24</v>
      </c>
      <c r="K7" s="4" t="s">
        <v>25</v>
      </c>
      <c r="L7" s="7"/>
      <c r="M7" s="6"/>
      <c r="N7" s="6"/>
    </row>
    <row r="8" customFormat="false" ht="15" hidden="false" customHeight="false" outlineLevel="0" collapsed="false">
      <c r="A8" s="4" t="n">
        <v>4</v>
      </c>
      <c r="B8" s="5" t="s">
        <v>16</v>
      </c>
      <c r="C8" s="6" t="s">
        <v>39</v>
      </c>
      <c r="D8" s="6" t="s">
        <v>18</v>
      </c>
      <c r="E8" s="6" t="s">
        <v>40</v>
      </c>
      <c r="F8" s="7" t="s">
        <v>41</v>
      </c>
      <c r="G8" s="7" t="s">
        <v>42</v>
      </c>
      <c r="H8" s="6" t="s">
        <v>43</v>
      </c>
      <c r="I8" s="4" t="s">
        <v>23</v>
      </c>
      <c r="J8" s="7" t="s">
        <v>24</v>
      </c>
      <c r="K8" s="4" t="s">
        <v>25</v>
      </c>
      <c r="L8" s="7"/>
      <c r="M8" s="6"/>
      <c r="N8" s="6"/>
    </row>
    <row r="9" customFormat="false" ht="23.85" hidden="false" customHeight="false" outlineLevel="0" collapsed="false">
      <c r="A9" s="4" t="n">
        <v>5</v>
      </c>
      <c r="B9" s="5" t="s">
        <v>16</v>
      </c>
      <c r="C9" s="6" t="s">
        <v>44</v>
      </c>
      <c r="D9" s="6" t="s">
        <v>45</v>
      </c>
      <c r="E9" s="6" t="s">
        <v>46</v>
      </c>
      <c r="F9" s="7" t="s">
        <v>47</v>
      </c>
      <c r="G9" s="7" t="s">
        <v>48</v>
      </c>
      <c r="H9" s="6" t="s">
        <v>49</v>
      </c>
      <c r="I9" s="4" t="s">
        <v>38</v>
      </c>
      <c r="J9" s="7" t="s">
        <v>24</v>
      </c>
      <c r="K9" s="4" t="s">
        <v>25</v>
      </c>
      <c r="L9" s="7"/>
      <c r="M9" s="6"/>
      <c r="N9" s="6"/>
    </row>
    <row r="10" customFormat="false" ht="23.85" hidden="false" customHeight="false" outlineLevel="0" collapsed="false">
      <c r="A10" s="4" t="n">
        <v>6</v>
      </c>
      <c r="B10" s="5" t="s">
        <v>16</v>
      </c>
      <c r="C10" s="6" t="s">
        <v>50</v>
      </c>
      <c r="D10" s="6" t="s">
        <v>51</v>
      </c>
      <c r="E10" s="6" t="s">
        <v>52</v>
      </c>
      <c r="F10" s="7" t="s">
        <v>53</v>
      </c>
      <c r="G10" s="7" t="s">
        <v>54</v>
      </c>
      <c r="H10" s="6" t="s">
        <v>49</v>
      </c>
      <c r="I10" s="4" t="s">
        <v>38</v>
      </c>
      <c r="J10" s="7" t="s">
        <v>24</v>
      </c>
      <c r="K10" s="4" t="s">
        <v>25</v>
      </c>
      <c r="L10" s="7"/>
      <c r="M10" s="6"/>
      <c r="N10" s="6"/>
    </row>
    <row r="11" customFormat="false" ht="23.85" hidden="false" customHeight="false" outlineLevel="0" collapsed="false">
      <c r="A11" s="4" t="n">
        <v>7</v>
      </c>
      <c r="B11" s="5" t="s">
        <v>16</v>
      </c>
      <c r="C11" s="6" t="s">
        <v>55</v>
      </c>
      <c r="D11" s="6" t="s">
        <v>56</v>
      </c>
      <c r="E11" s="6" t="s">
        <v>57</v>
      </c>
      <c r="F11" s="7" t="s">
        <v>58</v>
      </c>
      <c r="G11" s="7" t="s">
        <v>59</v>
      </c>
      <c r="H11" s="6" t="s">
        <v>49</v>
      </c>
      <c r="I11" s="4" t="s">
        <v>38</v>
      </c>
      <c r="J11" s="7" t="s">
        <v>24</v>
      </c>
      <c r="K11" s="4" t="s">
        <v>25</v>
      </c>
      <c r="L11" s="7"/>
      <c r="M11" s="6"/>
      <c r="N11" s="6"/>
    </row>
    <row r="12" customFormat="false" ht="23.85" hidden="false" customHeight="false" outlineLevel="0" collapsed="false">
      <c r="A12" s="4" t="n">
        <v>8</v>
      </c>
      <c r="B12" s="5" t="s">
        <v>16</v>
      </c>
      <c r="C12" s="6" t="s">
        <v>60</v>
      </c>
      <c r="D12" s="6" t="s">
        <v>61</v>
      </c>
      <c r="E12" s="6" t="s">
        <v>62</v>
      </c>
      <c r="F12" s="7" t="s">
        <v>63</v>
      </c>
      <c r="G12" s="7" t="s">
        <v>64</v>
      </c>
      <c r="H12" s="6" t="s">
        <v>49</v>
      </c>
      <c r="I12" s="4" t="s">
        <v>38</v>
      </c>
      <c r="J12" s="7" t="s">
        <v>24</v>
      </c>
      <c r="K12" s="4" t="s">
        <v>25</v>
      </c>
      <c r="L12" s="7"/>
      <c r="M12" s="6"/>
      <c r="N12" s="6"/>
    </row>
    <row r="13" customFormat="false" ht="23.85" hidden="false" customHeight="false" outlineLevel="0" collapsed="false">
      <c r="A13" s="4" t="n">
        <v>9</v>
      </c>
      <c r="B13" s="5" t="s">
        <v>16</v>
      </c>
      <c r="C13" s="6" t="s">
        <v>65</v>
      </c>
      <c r="D13" s="6" t="s">
        <v>66</v>
      </c>
      <c r="E13" s="6" t="s">
        <v>19</v>
      </c>
      <c r="F13" s="7" t="s">
        <v>67</v>
      </c>
      <c r="G13" s="7" t="s">
        <v>68</v>
      </c>
      <c r="H13" s="6" t="s">
        <v>49</v>
      </c>
      <c r="I13" s="4" t="s">
        <v>23</v>
      </c>
      <c r="J13" s="7" t="s">
        <v>24</v>
      </c>
      <c r="K13" s="4" t="s">
        <v>25</v>
      </c>
      <c r="L13" s="7"/>
      <c r="M13" s="6"/>
      <c r="N13" s="6"/>
    </row>
    <row r="14" customFormat="false" ht="15" hidden="false" customHeight="false" outlineLevel="0" collapsed="false">
      <c r="A14" s="4" t="n">
        <v>10</v>
      </c>
      <c r="B14" s="5" t="s">
        <v>16</v>
      </c>
      <c r="C14" s="6" t="s">
        <v>69</v>
      </c>
      <c r="D14" s="6" t="s">
        <v>70</v>
      </c>
      <c r="E14" s="6" t="s">
        <v>71</v>
      </c>
      <c r="F14" s="7" t="s">
        <v>72</v>
      </c>
      <c r="G14" s="7" t="s">
        <v>73</v>
      </c>
      <c r="H14" s="6" t="s">
        <v>74</v>
      </c>
      <c r="I14" s="4" t="s">
        <v>75</v>
      </c>
      <c r="J14" s="7" t="s">
        <v>24</v>
      </c>
      <c r="K14" s="4" t="s">
        <v>25</v>
      </c>
      <c r="L14" s="7"/>
      <c r="M14" s="6"/>
      <c r="N14" s="6"/>
    </row>
    <row r="15" customFormat="false" ht="23.85" hidden="false" customHeight="false" outlineLevel="0" collapsed="false">
      <c r="A15" s="4" t="n">
        <v>11</v>
      </c>
      <c r="B15" s="4" t="s">
        <v>76</v>
      </c>
      <c r="C15" s="6" t="s">
        <v>77</v>
      </c>
      <c r="D15" s="6" t="s">
        <v>78</v>
      </c>
      <c r="E15" s="6" t="s">
        <v>79</v>
      </c>
      <c r="F15" s="7" t="s">
        <v>80</v>
      </c>
      <c r="G15" s="7" t="s">
        <v>81</v>
      </c>
      <c r="H15" s="6" t="s">
        <v>49</v>
      </c>
      <c r="I15" s="4" t="s">
        <v>38</v>
      </c>
      <c r="J15" s="7" t="s">
        <v>24</v>
      </c>
      <c r="K15" s="4" t="s">
        <v>25</v>
      </c>
      <c r="L15" s="7"/>
      <c r="M15" s="6"/>
      <c r="N15" s="6"/>
    </row>
    <row r="16" customFormat="false" ht="23.85" hidden="false" customHeight="false" outlineLevel="0" collapsed="false">
      <c r="A16" s="4" t="n">
        <v>12</v>
      </c>
      <c r="B16" s="4" t="s">
        <v>76</v>
      </c>
      <c r="C16" s="6" t="s">
        <v>82</v>
      </c>
      <c r="D16" s="6" t="s">
        <v>83</v>
      </c>
      <c r="E16" s="6" t="s">
        <v>84</v>
      </c>
      <c r="F16" s="7" t="s">
        <v>80</v>
      </c>
      <c r="G16" s="7" t="s">
        <v>85</v>
      </c>
      <c r="H16" s="6" t="s">
        <v>49</v>
      </c>
      <c r="I16" s="4" t="s">
        <v>38</v>
      </c>
      <c r="J16" s="7" t="s">
        <v>24</v>
      </c>
      <c r="K16" s="4" t="s">
        <v>25</v>
      </c>
      <c r="L16" s="7"/>
      <c r="M16" s="6"/>
      <c r="N16" s="6"/>
    </row>
    <row r="17" customFormat="false" ht="15" hidden="false" customHeight="false" outlineLevel="0" collapsed="false">
      <c r="A17" s="4" t="n">
        <v>13</v>
      </c>
      <c r="B17" s="4" t="s">
        <v>76</v>
      </c>
      <c r="C17" s="6" t="s">
        <v>86</v>
      </c>
      <c r="D17" s="6" t="s">
        <v>87</v>
      </c>
      <c r="E17" s="6" t="s">
        <v>88</v>
      </c>
      <c r="F17" s="7" t="s">
        <v>80</v>
      </c>
      <c r="G17" s="7" t="s">
        <v>89</v>
      </c>
      <c r="H17" s="6" t="s">
        <v>90</v>
      </c>
      <c r="I17" s="4" t="s">
        <v>38</v>
      </c>
      <c r="J17" s="7" t="s">
        <v>24</v>
      </c>
      <c r="K17" s="4" t="s">
        <v>25</v>
      </c>
      <c r="L17" s="7"/>
      <c r="M17" s="6"/>
      <c r="N17" s="6"/>
    </row>
    <row r="18" customFormat="false" ht="15" hidden="false" customHeight="false" outlineLevel="0" collapsed="false">
      <c r="A18" s="4" t="n">
        <v>14</v>
      </c>
      <c r="B18" s="4" t="s">
        <v>76</v>
      </c>
      <c r="C18" s="6" t="s">
        <v>91</v>
      </c>
      <c r="D18" s="6" t="s">
        <v>92</v>
      </c>
      <c r="E18" s="6" t="s">
        <v>93</v>
      </c>
      <c r="F18" s="7" t="s">
        <v>80</v>
      </c>
      <c r="G18" s="7" t="s">
        <v>94</v>
      </c>
      <c r="H18" s="6" t="s">
        <v>95</v>
      </c>
      <c r="I18" s="4" t="s">
        <v>38</v>
      </c>
      <c r="J18" s="7" t="s">
        <v>24</v>
      </c>
      <c r="K18" s="4" t="s">
        <v>25</v>
      </c>
      <c r="L18" s="7"/>
      <c r="M18" s="6"/>
      <c r="N18" s="6"/>
    </row>
    <row r="19" customFormat="false" ht="23.85" hidden="false" customHeight="false" outlineLevel="0" collapsed="false">
      <c r="A19" s="4" t="n">
        <v>15</v>
      </c>
      <c r="B19" s="4" t="s">
        <v>76</v>
      </c>
      <c r="C19" s="6" t="s">
        <v>96</v>
      </c>
      <c r="D19" s="6" t="s">
        <v>97</v>
      </c>
      <c r="E19" s="6" t="s">
        <v>98</v>
      </c>
      <c r="F19" s="7" t="s">
        <v>80</v>
      </c>
      <c r="G19" s="7" t="s">
        <v>99</v>
      </c>
      <c r="H19" s="6" t="s">
        <v>100</v>
      </c>
      <c r="I19" s="4" t="s">
        <v>38</v>
      </c>
      <c r="J19" s="7" t="s">
        <v>24</v>
      </c>
      <c r="K19" s="4" t="s">
        <v>25</v>
      </c>
      <c r="L19" s="7"/>
      <c r="M19" s="6"/>
      <c r="N19" s="6"/>
    </row>
    <row r="20" customFormat="false" ht="23.85" hidden="false" customHeight="false" outlineLevel="0" collapsed="false">
      <c r="A20" s="4" t="n">
        <v>16</v>
      </c>
      <c r="B20" s="4" t="s">
        <v>76</v>
      </c>
      <c r="C20" s="6" t="s">
        <v>101</v>
      </c>
      <c r="D20" s="6" t="s">
        <v>102</v>
      </c>
      <c r="E20" s="6" t="s">
        <v>88</v>
      </c>
      <c r="F20" s="7" t="s">
        <v>80</v>
      </c>
      <c r="G20" s="7" t="s">
        <v>103</v>
      </c>
      <c r="H20" s="6" t="s">
        <v>49</v>
      </c>
      <c r="I20" s="4" t="s">
        <v>38</v>
      </c>
      <c r="J20" s="7" t="s">
        <v>24</v>
      </c>
      <c r="K20" s="4" t="s">
        <v>25</v>
      </c>
      <c r="L20" s="7"/>
      <c r="M20" s="6"/>
      <c r="N20" s="6"/>
    </row>
    <row r="21" customFormat="false" ht="15" hidden="false" customHeight="false" outlineLevel="0" collapsed="false">
      <c r="A21" s="4" t="n">
        <v>17</v>
      </c>
      <c r="B21" s="4" t="s">
        <v>76</v>
      </c>
      <c r="C21" s="6" t="s">
        <v>104</v>
      </c>
      <c r="D21" s="6" t="s">
        <v>105</v>
      </c>
      <c r="E21" s="6" t="s">
        <v>98</v>
      </c>
      <c r="F21" s="7" t="s">
        <v>80</v>
      </c>
      <c r="G21" s="7" t="s">
        <v>106</v>
      </c>
      <c r="H21" s="6" t="s">
        <v>107</v>
      </c>
      <c r="I21" s="4" t="s">
        <v>38</v>
      </c>
      <c r="J21" s="7" t="s">
        <v>24</v>
      </c>
      <c r="K21" s="4" t="s">
        <v>25</v>
      </c>
      <c r="L21" s="7"/>
      <c r="M21" s="6"/>
      <c r="N21" s="6"/>
    </row>
    <row r="22" customFormat="false" ht="23.85" hidden="false" customHeight="false" outlineLevel="0" collapsed="false">
      <c r="A22" s="4" t="n">
        <v>18</v>
      </c>
      <c r="B22" s="4" t="s">
        <v>76</v>
      </c>
      <c r="C22" s="6" t="s">
        <v>108</v>
      </c>
      <c r="D22" s="6" t="s">
        <v>109</v>
      </c>
      <c r="E22" s="6" t="s">
        <v>110</v>
      </c>
      <c r="F22" s="7" t="s">
        <v>80</v>
      </c>
      <c r="G22" s="7" t="s">
        <v>111</v>
      </c>
      <c r="H22" s="6" t="s">
        <v>49</v>
      </c>
      <c r="I22" s="4" t="s">
        <v>38</v>
      </c>
      <c r="J22" s="7" t="s">
        <v>24</v>
      </c>
      <c r="K22" s="4" t="s">
        <v>25</v>
      </c>
      <c r="L22" s="7"/>
      <c r="M22" s="6"/>
      <c r="N22" s="6"/>
    </row>
    <row r="23" customFormat="false" ht="15" hidden="false" customHeight="false" outlineLevel="0" collapsed="false">
      <c r="A23" s="4" t="n">
        <v>19</v>
      </c>
      <c r="B23" s="4" t="s">
        <v>76</v>
      </c>
      <c r="C23" s="6" t="s">
        <v>112</v>
      </c>
      <c r="D23" s="6" t="s">
        <v>113</v>
      </c>
      <c r="E23" s="6" t="s">
        <v>40</v>
      </c>
      <c r="F23" s="7" t="s">
        <v>80</v>
      </c>
      <c r="G23" s="7" t="s">
        <v>114</v>
      </c>
      <c r="H23" s="6" t="s">
        <v>115</v>
      </c>
      <c r="I23" s="4" t="s">
        <v>23</v>
      </c>
      <c r="J23" s="7" t="s">
        <v>24</v>
      </c>
      <c r="K23" s="4" t="s">
        <v>25</v>
      </c>
      <c r="L23" s="7"/>
      <c r="M23" s="6"/>
      <c r="N23" s="6"/>
    </row>
    <row r="24" customFormat="false" ht="15" hidden="false" customHeight="false" outlineLevel="0" collapsed="false">
      <c r="A24" s="4" t="n">
        <v>20</v>
      </c>
      <c r="B24" s="4" t="s">
        <v>76</v>
      </c>
      <c r="C24" s="6" t="s">
        <v>116</v>
      </c>
      <c r="D24" s="6" t="s">
        <v>70</v>
      </c>
      <c r="E24" s="6" t="s">
        <v>84</v>
      </c>
      <c r="F24" s="7" t="s">
        <v>80</v>
      </c>
      <c r="G24" s="7" t="s">
        <v>117</v>
      </c>
      <c r="H24" s="6" t="s">
        <v>74</v>
      </c>
      <c r="I24" s="4" t="s">
        <v>75</v>
      </c>
      <c r="J24" s="7" t="s">
        <v>24</v>
      </c>
      <c r="K24" s="4" t="s">
        <v>25</v>
      </c>
      <c r="L24" s="7"/>
      <c r="M24" s="6"/>
      <c r="N24" s="6"/>
    </row>
  </sheetData>
  <autoFilter ref="A4:N24"/>
  <conditionalFormatting sqref="K5:K24">
    <cfRule type="cellIs" priority="2" operator="equal" aboveAverage="0" equalAverage="0" bottom="0" percent="0" rank="0" text="" dxfId="6">
      <formula>"Won"</formula>
    </cfRule>
    <cfRule type="cellIs" priority="3" operator="equal" aboveAverage="0" equalAverage="0" bottom="0" percent="0" rank="0" text="" dxfId="7">
      <formula>"Lost"</formula>
    </cfRule>
    <cfRule type="cellIs" priority="4" operator="equal" aboveAverage="0" equalAverage="0" bottom="0" percent="0" rank="0" text="" dxfId="8">
      <formula>"Quoted"</formula>
    </cfRule>
    <cfRule type="cellIs" priority="5" operator="equal" aboveAverage="0" equalAverage="0" bottom="0" percent="0" rank="0" text="" dxfId="9">
      <formula>"Contacted"</formula>
    </cfRule>
    <cfRule type="cellIs" priority="6" operator="equal" aboveAverage="0" equalAverage="0" bottom="0" percent="0" rank="0" text="" dxfId="10">
      <formula>"Callback"</formula>
    </cfRule>
    <cfRule type="cellIs" priority="7" operator="equal" aboveAverage="0" equalAverage="0" bottom="0" percent="0" rank="0" text="" dxfId="11">
      <formula>"To-call"</formula>
    </cfRule>
  </conditionalFormatting>
  <dataValidations count="1">
    <dataValidation allowBlank="false" errorStyle="stop" operator="between" showDropDown="false" showErrorMessage="false" showInputMessage="false" sqref="K5:K24" type="list">
      <formula1>"To-call,Contacted,Callback,Quoted,Won,Lost"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118</v>
      </c>
    </row>
    <row r="3" customFormat="false" ht="15" hidden="false" customHeight="false" outlineLevel="0" collapsed="false">
      <c r="A3" s="8" t="s">
        <v>119</v>
      </c>
      <c r="D3" s="8" t="s">
        <v>120</v>
      </c>
    </row>
    <row r="4" customFormat="false" ht="15" hidden="false" customHeight="false" outlineLevel="0" collapsed="false">
      <c r="A4" s="9" t="s">
        <v>25</v>
      </c>
      <c r="B4" s="9" t="n">
        <f aca="false">COUNTIF(Pipeline!K:K,"To-call")</f>
        <v>20</v>
      </c>
      <c r="D4" s="9" t="s">
        <v>38</v>
      </c>
      <c r="E4" s="9" t="n">
        <f aca="false">COUNTIF(Pipeline!I:I,"Washing-first")</f>
        <v>13</v>
      </c>
    </row>
    <row r="5" customFormat="false" ht="15" hidden="false" customHeight="false" outlineLevel="0" collapsed="false">
      <c r="A5" s="9" t="s">
        <v>121</v>
      </c>
      <c r="B5" s="9" t="n">
        <f aca="false">COUNTIF(Pipeline!K:K,"Contacted")</f>
        <v>0</v>
      </c>
      <c r="D5" s="9" t="s">
        <v>23</v>
      </c>
      <c r="E5" s="9" t="n">
        <f aca="false">COUNTIF(Pipeline!I:I,"Watch-first")</f>
        <v>5</v>
      </c>
    </row>
    <row r="6" customFormat="false" ht="15" hidden="false" customHeight="false" outlineLevel="0" collapsed="false">
      <c r="A6" s="9" t="s">
        <v>122</v>
      </c>
      <c r="B6" s="9" t="n">
        <f aca="false">COUNTIF(Pipeline!K:K,"Callback")</f>
        <v>0</v>
      </c>
      <c r="D6" s="9" t="s">
        <v>75</v>
      </c>
      <c r="E6" s="9" t="n">
        <f aca="false">COUNTIF(Pipeline!I:I,"Referral")</f>
        <v>2</v>
      </c>
    </row>
    <row r="7" customFormat="false" ht="15" hidden="false" customHeight="false" outlineLevel="0" collapsed="false">
      <c r="A7" s="9" t="s">
        <v>123</v>
      </c>
      <c r="B7" s="9" t="n">
        <f aca="false">COUNTIF(Pipeline!K:K,"Quoted")</f>
        <v>0</v>
      </c>
    </row>
    <row r="8" customFormat="false" ht="15" hidden="false" customHeight="false" outlineLevel="0" collapsed="false">
      <c r="A8" s="9" t="s">
        <v>124</v>
      </c>
      <c r="B8" s="9" t="n">
        <f aca="false">COUNTIF(Pipeline!K:K,"Won")</f>
        <v>0</v>
      </c>
      <c r="D8" s="10" t="s">
        <v>125</v>
      </c>
      <c r="E8" s="0" t="n">
        <f aca="false">COUNTIF(Pipeline!B:B,"★")</f>
        <v>10</v>
      </c>
    </row>
    <row r="9" customFormat="false" ht="15" hidden="false" customHeight="false" outlineLevel="0" collapsed="false">
      <c r="A9" s="9" t="s">
        <v>126</v>
      </c>
      <c r="B9" s="9" t="n">
        <f aca="false">COUNTIF(Pipeline!K:K,"Lost")</f>
        <v>0</v>
      </c>
    </row>
    <row r="10" customFormat="false" ht="15" hidden="false" customHeight="false" outlineLevel="0" collapsed="false">
      <c r="A10" s="10" t="s">
        <v>127</v>
      </c>
      <c r="B10" s="10" t="n">
        <f aca="false">COUNTA(Pipeline!C5:C24)</f>
        <v>20</v>
      </c>
    </row>
    <row r="12" customFormat="false" ht="15" hidden="false" customHeight="false" outlineLevel="0" collapsed="false">
      <c r="A12" s="10" t="s">
        <v>128</v>
      </c>
      <c r="B12" s="11" t="n">
        <f aca="false">IFERROR(B9/(B5+B6+B7+B8+B9),0)</f>
        <v>0</v>
      </c>
    </row>
    <row r="15" customFormat="false" ht="15" hidden="false" customHeight="false" outlineLevel="0" collapsed="false">
      <c r="A15" s="2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2026-05-31T06:35:17Z</dcterms:created>
  <dc:creator>openpyxl</dc:creator>
  <dc:description/>
  <dc:language>en-US</dc:language>
  <cp:lastModifiedBy/>
  <dcterms:modified xsi:type="dcterms:W3CDTF">2026-05-31T06:35:17Z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