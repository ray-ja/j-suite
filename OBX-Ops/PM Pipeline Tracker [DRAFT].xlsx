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ipeline" sheetId="1" state="visible" r:id="rId1"/>
    <sheet xmlns:r="http://schemas.openxmlformats.org/officeDocument/2006/relationships" name="Dashboard" sheetId="2" state="visible" r:id="rId2"/>
  </sheets>
  <definedNames>
    <definedName name="_xlnm._FilterDatabase" localSheetId="0" hidden="1">'Pipeline'!$A$4:$N$24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B2A4E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8A6D0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1B2A4E"/>
        <bgColor rgb="FF003366"/>
      </patternFill>
    </fill>
    <fill>
      <patternFill patternType="solid">
        <fgColor rgb="FF8BC34A"/>
        <bgColor rgb="FF96969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center"/>
    </xf>
    <xf numFmtId="0" fontId="9" fillId="3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center"/>
    </xf>
    <xf numFmtId="0" fontId="9" fillId="3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1B2A4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A6D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ont>
        <name val="Arial"/>
        <charset val="1"/>
        <family val="0"/>
        <color rgb="FFFFFFFF"/>
      </font>
      <fill>
        <patternFill>
          <bgColor rgb="FF2E7D32"/>
        </patternFill>
      </fill>
    </dxf>
    <dxf>
      <font>
        <name val="Arial"/>
        <charset val="1"/>
        <family val="0"/>
        <color rgb="FFFFFFFF"/>
      </font>
      <fill>
        <patternFill>
          <bgColor rgb="FFC0392B"/>
        </patternFill>
      </fill>
    </dxf>
    <dxf>
      <font>
        <name val="Arial"/>
        <charset val="1"/>
        <family val="0"/>
        <color rgb="FF000000"/>
      </font>
      <fill>
        <patternFill>
          <bgColor rgb="FFFFF3B0"/>
        </patternFill>
      </fill>
    </dxf>
    <dxf>
      <font>
        <name val="Arial"/>
        <charset val="1"/>
        <family val="0"/>
        <color rgb="FF000000"/>
      </font>
      <fill>
        <patternFill>
          <bgColor rgb="FFD6E4F0"/>
        </patternFill>
      </fill>
    </dxf>
    <dxf>
      <font>
        <name val="Arial"/>
        <charset val="1"/>
        <family val="0"/>
        <color rgb="FF000000"/>
      </font>
      <fill>
        <patternFill>
          <bgColor rgb="FFFCE5CD"/>
        </patternFill>
      </fill>
    </dxf>
    <dxf>
      <font>
        <name val="Arial"/>
        <charset val="1"/>
        <family val="0"/>
        <color rgb="FF666666"/>
      </font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D00"/>
      <rgbColor rgb="FF800080"/>
      <rgbColor rgb="FF008080"/>
      <rgbColor rgb="FFCCCCCC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CE5CD"/>
      <rgbColor rgb="FF3366FF"/>
      <rgbColor rgb="FF33CCCC"/>
      <rgbColor rgb="FF8BC34A"/>
      <rgbColor rgb="FFFFCC00"/>
      <rgbColor rgb="FFFF9900"/>
      <rgbColor rgb="FFFF6600"/>
      <rgbColor rgb="FF666666"/>
      <rgbColor rgb="FF969696"/>
      <rgbColor rgb="FF003366"/>
      <rgbColor rgb="FF2E7D32"/>
      <rgbColor rgb="FF003300"/>
      <rgbColor rgb="FF333300"/>
      <rgbColor rgb="FFC0392B"/>
      <rgbColor rgb="FF993366"/>
      <rgbColor rgb="FF333399"/>
      <rgbColor rgb="FF1B2A4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" customWidth="1" style="12" min="1" max="1"/>
    <col width="6" customWidth="1" style="12" min="2" max="2"/>
    <col width="30" customWidth="1" style="12" min="3" max="3"/>
    <col width="26" customWidth="1" style="12" min="4" max="5"/>
    <col width="17" customWidth="1" style="12" min="6" max="6"/>
    <col width="22" customWidth="1" style="12" min="7" max="7"/>
    <col width="26" customWidth="1" style="12" min="8" max="8"/>
    <col width="13" customWidth="1" style="12" min="9" max="9"/>
    <col width="22" customWidth="1" style="12" min="10" max="10"/>
    <col width="13" customWidth="1" style="12" min="11" max="12"/>
    <col width="24" customWidth="1" style="12" min="13" max="13"/>
    <col width="28" customWidth="1" style="12" min="14" max="14"/>
  </cols>
  <sheetData>
    <row r="1" ht="17.35" customHeight="1" s="13">
      <c r="A1" s="14" t="inlineStr">
        <is>
          <t>OBX Lot Solutions — PM Call-Sheet &amp; Pipeline Tracker</t>
        </is>
      </c>
    </row>
    <row r="2" ht="15" customHeight="1" s="13">
      <c r="A2" s="15" t="inlineStr">
        <is>
          <t>Phones re-verified against official sources May 31, 2026. ★ = verified number, call now. 'verify' = confirm on website (1 left: Crew Cutters). Set Status from the dropdown after each call.</t>
        </is>
      </c>
    </row>
    <row r="3"/>
    <row r="4" ht="26.85" customHeight="1" s="13">
      <c r="A4" s="16" t="inlineStr">
        <is>
          <t>#</t>
        </is>
      </c>
      <c r="B4" s="16" t="inlineStr">
        <is>
          <t>Pri</t>
        </is>
      </c>
      <c r="C4" s="16" t="inlineStr">
        <is>
          <t>Company</t>
        </is>
      </c>
      <c r="D4" s="16" t="inlineStr">
        <is>
          <t>Type / portfolio</t>
        </is>
      </c>
      <c r="E4" s="16" t="inlineStr">
        <is>
          <t>Towns</t>
        </is>
      </c>
      <c r="F4" s="16" t="inlineStr">
        <is>
          <t>Phone</t>
        </is>
      </c>
      <c r="G4" s="16" t="inlineStr">
        <is>
          <t>Website</t>
        </is>
      </c>
      <c r="H4" s="16" t="inlineStr">
        <is>
          <t>Decision-maker (ask for)</t>
        </is>
      </c>
      <c r="I4" s="16" t="inlineStr">
        <is>
          <t>Pitch</t>
        </is>
      </c>
      <c r="J4" s="16" t="inlineStr">
        <is>
          <t>Best call time</t>
        </is>
      </c>
      <c r="K4" s="16" t="inlineStr">
        <is>
          <t>Status</t>
        </is>
      </c>
      <c r="L4" s="16" t="inlineStr">
        <is>
          <t>Last contact</t>
        </is>
      </c>
      <c r="M4" s="16" t="inlineStr">
        <is>
          <t>Next action</t>
        </is>
      </c>
      <c r="N4" s="16" t="inlineStr">
        <is>
          <t>Notes</t>
        </is>
      </c>
    </row>
    <row r="5" ht="23.85" customHeight="1" s="13">
      <c r="A5" s="17" t="n">
        <v>1</v>
      </c>
      <c r="B5" s="18" t="inlineStr">
        <is>
          <t>★</t>
        </is>
      </c>
      <c r="C5" s="19" t="inlineStr">
        <is>
          <t>Joe Lamb Jr. &amp; Associates</t>
        </is>
      </c>
      <c r="D5" s="19" t="inlineStr">
        <is>
          <t>Residential &amp; commercial</t>
        </is>
      </c>
      <c r="E5" s="19" t="inlineStr">
        <is>
          <t>Kitty Hawk</t>
        </is>
      </c>
      <c r="F5" s="20" t="inlineStr">
        <is>
          <t>(252) 261-4444</t>
        </is>
      </c>
      <c r="G5" s="20" t="inlineStr">
        <is>
          <t>joelambjr.com</t>
        </is>
      </c>
      <c r="H5" s="19" t="inlineStr">
        <is>
          <t>Property-management manager</t>
        </is>
      </c>
      <c r="I5" s="17" t="inlineStr">
        <is>
          <t>Watch-first</t>
        </is>
      </c>
      <c r="J5" s="20" t="inlineStr">
        <is>
          <t>Tue–Thu 9–11a / 1:30–4p</t>
        </is>
      </c>
      <c r="K5" s="17" t="inlineStr">
        <is>
          <t>To-call</t>
        </is>
      </c>
      <c r="L5" s="20" t="n"/>
      <c r="M5" s="19" t="n"/>
      <c r="N5" s="19" t="n"/>
    </row>
    <row r="6" ht="15" customHeight="1" s="13">
      <c r="A6" s="17" t="n">
        <v>2</v>
      </c>
      <c r="B6" s="18" t="inlineStr">
        <is>
          <t>★</t>
        </is>
      </c>
      <c r="C6" s="19" t="inlineStr">
        <is>
          <t>Seaside Management</t>
        </is>
      </c>
      <c r="D6" s="19" t="inlineStr">
        <is>
          <t>HOA / condo / commercial</t>
        </is>
      </c>
      <c r="E6" s="19" t="inlineStr">
        <is>
          <t>Kitty Hawk (whole OBX)</t>
        </is>
      </c>
      <c r="F6" s="20" t="inlineStr">
        <is>
          <t>(252) 261-1200</t>
        </is>
      </c>
      <c r="G6" s="20" t="inlineStr">
        <is>
          <t>seaside-management.com</t>
        </is>
      </c>
      <c r="H6" s="19" t="inlineStr">
        <is>
          <t>Common-area / HOA manager</t>
        </is>
      </c>
      <c r="I6" s="17" t="inlineStr">
        <is>
          <t>Watch-first</t>
        </is>
      </c>
      <c r="J6" s="20" t="inlineStr">
        <is>
          <t>Tue–Thu 9–11a / 1:30–4p</t>
        </is>
      </c>
      <c r="K6" s="17" t="inlineStr">
        <is>
          <t>To-call</t>
        </is>
      </c>
      <c r="L6" s="20" t="n"/>
      <c r="M6" s="19" t="n"/>
      <c r="N6" s="19" t="n"/>
    </row>
    <row r="7" ht="15" customHeight="1" s="13">
      <c r="A7" s="17" t="n">
        <v>3</v>
      </c>
      <c r="B7" s="18" t="inlineStr">
        <is>
          <t>★</t>
        </is>
      </c>
      <c r="C7" s="19" t="inlineStr">
        <is>
          <t>Signature Touch Property Mgmt</t>
        </is>
      </c>
      <c r="D7" s="19" t="inlineStr">
        <is>
          <t>HOA / association</t>
        </is>
      </c>
      <c r="E7" s="19" t="inlineStr">
        <is>
          <t>Currituck &amp; Dare</t>
        </is>
      </c>
      <c r="F7" s="20" t="inlineStr">
        <is>
          <t>(252) 441-8857</t>
        </is>
      </c>
      <c r="G7" s="20" t="inlineStr">
        <is>
          <t>signaturetouchobx.com</t>
        </is>
      </c>
      <c r="H7" s="19" t="inlineStr">
        <is>
          <t>Association manager</t>
        </is>
      </c>
      <c r="I7" s="17" t="inlineStr">
        <is>
          <t>Washing-first</t>
        </is>
      </c>
      <c r="J7" s="20" t="inlineStr">
        <is>
          <t>Tue–Thu 9–11a / 1:30–4p</t>
        </is>
      </c>
      <c r="K7" s="17" t="inlineStr">
        <is>
          <t>To-call</t>
        </is>
      </c>
      <c r="L7" s="20" t="n"/>
      <c r="M7" s="19" t="n"/>
      <c r="N7" s="19" t="n"/>
    </row>
    <row r="8" ht="15" customHeight="1" s="13">
      <c r="A8" s="17" t="n">
        <v>4</v>
      </c>
      <c r="B8" s="18" t="inlineStr">
        <is>
          <t>★</t>
        </is>
      </c>
      <c r="C8" s="19" t="inlineStr">
        <is>
          <t>Harrell &amp; Associates</t>
        </is>
      </c>
      <c r="D8" s="19" t="inlineStr">
        <is>
          <t>Residential &amp; commercial</t>
        </is>
      </c>
      <c r="E8" s="19" t="inlineStr">
        <is>
          <t>Nags Head</t>
        </is>
      </c>
      <c r="F8" s="20" t="inlineStr">
        <is>
          <t>(252) 441-7887</t>
        </is>
      </c>
      <c r="G8" s="20" t="inlineStr">
        <is>
          <t>harrellandassociates.com</t>
        </is>
      </c>
      <c r="H8" s="19" t="inlineStr">
        <is>
          <t>Commercial / PM manager</t>
        </is>
      </c>
      <c r="I8" s="17" t="inlineStr">
        <is>
          <t>Watch-first</t>
        </is>
      </c>
      <c r="J8" s="20" t="inlineStr">
        <is>
          <t>Tue–Thu 9–11a / 1:30–4p</t>
        </is>
      </c>
      <c r="K8" s="17" t="inlineStr">
        <is>
          <t>To-call</t>
        </is>
      </c>
      <c r="L8" s="20" t="n"/>
      <c r="M8" s="19" t="n"/>
      <c r="N8" s="19" t="n"/>
    </row>
    <row r="9" ht="23.85" customHeight="1" s="13">
      <c r="A9" s="17" t="n">
        <v>5</v>
      </c>
      <c r="B9" s="18" t="inlineStr">
        <is>
          <t>★</t>
        </is>
      </c>
      <c r="C9" s="19" t="inlineStr">
        <is>
          <t>Twiddy &amp; Company</t>
        </is>
      </c>
      <c r="D9" s="19" t="inlineStr">
        <is>
          <t>VRM — largest OBX selection</t>
        </is>
      </c>
      <c r="E9" s="19" t="inlineStr">
        <is>
          <t>Corolla, Duck</t>
        </is>
      </c>
      <c r="F9" s="20" t="inlineStr">
        <is>
          <t>(252) 457-1110</t>
        </is>
      </c>
      <c r="G9" s="20" t="inlineStr">
        <is>
          <t>twiddy.com</t>
        </is>
      </c>
      <c r="H9" s="19" t="inlineStr">
        <is>
          <t>Maintenance / property-services</t>
        </is>
      </c>
      <c r="I9" s="17" t="inlineStr">
        <is>
          <t>Washing-first</t>
        </is>
      </c>
      <c r="J9" s="20" t="inlineStr">
        <is>
          <t>Tue–Thu 9–11a / 1:30–4p</t>
        </is>
      </c>
      <c r="K9" s="17" t="inlineStr">
        <is>
          <t>To-call</t>
        </is>
      </c>
      <c r="L9" s="20" t="n"/>
      <c r="M9" s="19" t="n"/>
      <c r="N9" s="19" t="n"/>
    </row>
    <row r="10" ht="23.85" customHeight="1" s="13">
      <c r="A10" s="17" t="n">
        <v>6</v>
      </c>
      <c r="B10" s="18" t="inlineStr">
        <is>
          <t>★</t>
        </is>
      </c>
      <c r="C10" s="19" t="inlineStr">
        <is>
          <t>Seaside Vacations</t>
        </is>
      </c>
      <c r="D10" s="19" t="inlineStr">
        <is>
          <t>Full-service PM since 1990</t>
        </is>
      </c>
      <c r="E10" s="19" t="inlineStr">
        <is>
          <t>Kitty Hawk, KDH</t>
        </is>
      </c>
      <c r="F10" s="20" t="inlineStr">
        <is>
          <t>(800) 395-2525</t>
        </is>
      </c>
      <c r="G10" s="20" t="inlineStr">
        <is>
          <t>outerbanksvacations.com</t>
        </is>
      </c>
      <c r="H10" s="19" t="inlineStr">
        <is>
          <t>Maintenance / property-services</t>
        </is>
      </c>
      <c r="I10" s="17" t="inlineStr">
        <is>
          <t>Washing-first</t>
        </is>
      </c>
      <c r="J10" s="20" t="inlineStr">
        <is>
          <t>Tue–Thu 9–11a / 1:30–4p</t>
        </is>
      </c>
      <c r="K10" s="17" t="inlineStr">
        <is>
          <t>To-call</t>
        </is>
      </c>
      <c r="L10" s="20" t="n"/>
      <c r="M10" s="19" t="n"/>
      <c r="N10" s="19" t="n"/>
    </row>
    <row r="11" ht="23.85" customHeight="1" s="13">
      <c r="A11" s="17" t="n">
        <v>7</v>
      </c>
      <c r="B11" s="18" t="inlineStr">
        <is>
          <t>★</t>
        </is>
      </c>
      <c r="C11" s="19" t="inlineStr">
        <is>
          <t>Brindley Beach Vacations &amp; Sales</t>
        </is>
      </c>
      <c r="D11" s="19" t="inlineStr">
        <is>
          <t>VRM / PM, multi-town</t>
        </is>
      </c>
      <c r="E11" s="19" t="inlineStr">
        <is>
          <t>Corolla, Duck, KH, KDH</t>
        </is>
      </c>
      <c r="F11" s="20" t="inlineStr">
        <is>
          <t>(252) 453-3335</t>
        </is>
      </c>
      <c r="G11" s="20" t="inlineStr">
        <is>
          <t>brindleybeach.com</t>
        </is>
      </c>
      <c r="H11" s="19" t="inlineStr">
        <is>
          <t>Maintenance / property-services</t>
        </is>
      </c>
      <c r="I11" s="17" t="inlineStr">
        <is>
          <t>Washing-first</t>
        </is>
      </c>
      <c r="J11" s="20" t="inlineStr">
        <is>
          <t>Tue–Thu 9–11a / 1:30–4p</t>
        </is>
      </c>
      <c r="K11" s="17" t="inlineStr">
        <is>
          <t>To-call</t>
        </is>
      </c>
      <c r="L11" s="20" t="n"/>
      <c r="M11" s="19" t="n"/>
      <c r="N11" s="19" t="n"/>
    </row>
    <row r="12" ht="23.85" customHeight="1" s="13">
      <c r="A12" s="17" t="n">
        <v>8</v>
      </c>
      <c r="B12" s="18" t="inlineStr">
        <is>
          <t>★</t>
        </is>
      </c>
      <c r="C12" s="19" t="inlineStr">
        <is>
          <t>Carolina Designs Realty</t>
        </is>
      </c>
      <c r="D12" s="19" t="inlineStr">
        <is>
          <t>VRM — Duck (upscale)</t>
        </is>
      </c>
      <c r="E12" s="19" t="inlineStr">
        <is>
          <t>Duck</t>
        </is>
      </c>
      <c r="F12" s="20" t="inlineStr">
        <is>
          <t>(800) 368-3825</t>
        </is>
      </c>
      <c r="G12" s="20" t="inlineStr">
        <is>
          <t>carolinadesigns.com</t>
        </is>
      </c>
      <c r="H12" s="19" t="inlineStr">
        <is>
          <t>Maintenance / property-services</t>
        </is>
      </c>
      <c r="I12" s="17" t="inlineStr">
        <is>
          <t>Washing-first</t>
        </is>
      </c>
      <c r="J12" s="20" t="inlineStr">
        <is>
          <t>Tue–Thu 9–11a / 1:30–4p</t>
        </is>
      </c>
      <c r="K12" s="17" t="inlineStr">
        <is>
          <t>To-call</t>
        </is>
      </c>
      <c r="L12" s="20" t="n"/>
      <c r="M12" s="19" t="n"/>
      <c r="N12" s="19" t="n"/>
    </row>
    <row r="13" ht="23.85" customHeight="1" s="13">
      <c r="A13" s="17" t="n">
        <v>9</v>
      </c>
      <c r="B13" s="18" t="inlineStr">
        <is>
          <t>★</t>
        </is>
      </c>
      <c r="C13" s="19" t="inlineStr">
        <is>
          <t>Atlantic Realty of the OBX</t>
        </is>
      </c>
      <c r="D13" s="19" t="inlineStr">
        <is>
          <t>PM since 1982</t>
        </is>
      </c>
      <c r="E13" s="19" t="inlineStr">
        <is>
          <t>Kitty Hawk</t>
        </is>
      </c>
      <c r="F13" s="20" t="inlineStr">
        <is>
          <t>(252) 680-1815</t>
        </is>
      </c>
      <c r="G13" s="20" t="inlineStr">
        <is>
          <t>atlanticrealty-nc.com</t>
        </is>
      </c>
      <c r="H13" s="19" t="inlineStr">
        <is>
          <t>Maintenance / property-services</t>
        </is>
      </c>
      <c r="I13" s="17" t="inlineStr">
        <is>
          <t>Watch-first</t>
        </is>
      </c>
      <c r="J13" s="20" t="inlineStr">
        <is>
          <t>Tue–Thu 9–11a / 1:30–4p</t>
        </is>
      </c>
      <c r="K13" s="17" t="inlineStr">
        <is>
          <t>To-call</t>
        </is>
      </c>
      <c r="L13" s="20" t="n"/>
      <c r="M13" s="19" t="n"/>
      <c r="N13" s="19" t="n"/>
    </row>
    <row r="14" ht="15" customHeight="1" s="13">
      <c r="A14" s="17" t="n">
        <v>10</v>
      </c>
      <c r="B14" s="18" t="inlineStr">
        <is>
          <t>★</t>
        </is>
      </c>
      <c r="C14" s="19" t="inlineStr">
        <is>
          <t>Kim Franks Lawn &amp; Landscaping</t>
        </is>
      </c>
      <c r="D14" s="19" t="inlineStr">
        <is>
          <t>Landscaping (partner)</t>
        </is>
      </c>
      <c r="E14" s="19" t="inlineStr">
        <is>
          <t>KDH,KH,NH,SS,Duck,Corolla</t>
        </is>
      </c>
      <c r="F14" s="20" t="inlineStr">
        <is>
          <t>(252) 573-9374</t>
        </is>
      </c>
      <c r="G14" s="20" t="inlineStr">
        <is>
          <t>kimfrankslandscaping.com</t>
        </is>
      </c>
      <c r="H14" s="19" t="inlineStr">
        <is>
          <t>Owner / operations</t>
        </is>
      </c>
      <c r="I14" s="17" t="inlineStr">
        <is>
          <t>Referral</t>
        </is>
      </c>
      <c r="J14" s="20" t="inlineStr">
        <is>
          <t>Tue–Thu 9–11a / 1:30–4p</t>
        </is>
      </c>
      <c r="K14" s="17" t="inlineStr">
        <is>
          <t>To-call</t>
        </is>
      </c>
      <c r="L14" s="20" t="n"/>
      <c r="M14" s="19" t="n"/>
      <c r="N14" s="19" t="n"/>
    </row>
    <row r="15" ht="23.85" customHeight="1" s="13">
      <c r="A15" s="17" t="n">
        <v>11</v>
      </c>
      <c r="B15" s="18" t="inlineStr">
        <is>
          <t>★</t>
        </is>
      </c>
      <c r="C15" s="19" t="inlineStr">
        <is>
          <t>Resort Realty</t>
        </is>
      </c>
      <c r="D15" s="19" t="inlineStr">
        <is>
          <t>VRM, 615+ homes</t>
        </is>
      </c>
      <c r="E15" s="19" t="inlineStr">
        <is>
          <t>Corolla→Nags Head + Hatteras</t>
        </is>
      </c>
      <c r="F15" s="20" t="inlineStr">
        <is>
          <t>(252) 441-5000</t>
        </is>
      </c>
      <c r="G15" s="20" t="inlineStr">
        <is>
          <t>resortrealty.com</t>
        </is>
      </c>
      <c r="H15" s="19" t="inlineStr">
        <is>
          <t>Maintenance / property-services</t>
        </is>
      </c>
      <c r="I15" s="17" t="inlineStr">
        <is>
          <t>Washing-first</t>
        </is>
      </c>
      <c r="J15" s="20" t="inlineStr">
        <is>
          <t>Tue–Thu 9–11a / 1:30–4p</t>
        </is>
      </c>
      <c r="K15" s="17" t="inlineStr">
        <is>
          <t>To-call</t>
        </is>
      </c>
      <c r="L15" s="20" t="n"/>
      <c r="M15" s="19" t="n"/>
      <c r="N15" s="19" t="n"/>
    </row>
    <row r="16" ht="23.85" customHeight="1" s="13">
      <c r="A16" s="17" t="n">
        <v>12</v>
      </c>
      <c r="B16" s="18" t="inlineStr">
        <is>
          <t>★</t>
        </is>
      </c>
      <c r="C16" s="19" t="inlineStr">
        <is>
          <t>Southern Shores Realty</t>
        </is>
      </c>
      <c r="D16" s="19" t="inlineStr">
        <is>
          <t>VRM, 300+</t>
        </is>
      </c>
      <c r="E16" s="19" t="inlineStr">
        <is>
          <t>Corolla→Nags Head</t>
        </is>
      </c>
      <c r="F16" s="20" t="inlineStr">
        <is>
          <t>(252) 261-2000</t>
        </is>
      </c>
      <c r="G16" s="20" t="inlineStr">
        <is>
          <t>southernshores.com</t>
        </is>
      </c>
      <c r="H16" s="19" t="inlineStr">
        <is>
          <t>Maintenance / property-services</t>
        </is>
      </c>
      <c r="I16" s="17" t="inlineStr">
        <is>
          <t>Washing-first</t>
        </is>
      </c>
      <c r="J16" s="20" t="inlineStr">
        <is>
          <t>Tue–Thu 9–11a / 1:30–4p</t>
        </is>
      </c>
      <c r="K16" s="17" t="inlineStr">
        <is>
          <t>To-call</t>
        </is>
      </c>
      <c r="L16" s="20" t="n"/>
      <c r="M16" s="19" t="n"/>
      <c r="N16" s="19" t="n"/>
    </row>
    <row r="17" ht="15" customHeight="1" s="13">
      <c r="A17" s="17" t="n">
        <v>13</v>
      </c>
      <c r="B17" s="18" t="inlineStr">
        <is>
          <t>★</t>
        </is>
      </c>
      <c r="C17" s="19" t="inlineStr">
        <is>
          <t>Stan White Realty &amp; Const.</t>
        </is>
      </c>
      <c r="D17" s="19" t="inlineStr">
        <is>
          <t>VRM, 300+ (+ construction)</t>
        </is>
      </c>
      <c r="E17" s="19" t="inlineStr">
        <is>
          <t>Nags Head→Corolla</t>
        </is>
      </c>
      <c r="F17" s="20" t="inlineStr">
        <is>
          <t>(252) 441-1515</t>
        </is>
      </c>
      <c r="G17" s="20" t="inlineStr">
        <is>
          <t>stanwhiterealty.com</t>
        </is>
      </c>
      <c r="H17" s="19" t="inlineStr">
        <is>
          <t>Maintenance coordinator</t>
        </is>
      </c>
      <c r="I17" s="17" t="inlineStr">
        <is>
          <t>Washing-first</t>
        </is>
      </c>
      <c r="J17" s="20" t="inlineStr">
        <is>
          <t>Tue–Thu 9–11a / 1:30–4p</t>
        </is>
      </c>
      <c r="K17" s="17" t="inlineStr">
        <is>
          <t>To-call</t>
        </is>
      </c>
      <c r="L17" s="20" t="n"/>
      <c r="M17" s="19" t="n"/>
      <c r="N17" s="19" t="n"/>
    </row>
    <row r="18" ht="15" customHeight="1" s="13">
      <c r="A18" s="17" t="n">
        <v>14</v>
      </c>
      <c r="B18" s="18" t="inlineStr">
        <is>
          <t>★</t>
        </is>
      </c>
      <c r="C18" s="19" t="inlineStr">
        <is>
          <t>KEES</t>
        </is>
      </c>
      <c r="D18" s="19" t="inlineStr">
        <is>
          <t>VRM, 300+ (growing)</t>
        </is>
      </c>
      <c r="E18" s="19" t="inlineStr">
        <is>
          <t>NH,KH,Corolla,KDH,Duck</t>
        </is>
      </c>
      <c r="F18" s="20" t="inlineStr">
        <is>
          <t>(866) 316-1843</t>
        </is>
      </c>
      <c r="G18" s="20" t="inlineStr">
        <is>
          <t>keesouterbanks.com</t>
        </is>
      </c>
      <c r="H18" s="19" t="inlineStr">
        <is>
          <t>Maintenance ops</t>
        </is>
      </c>
      <c r="I18" s="17" t="inlineStr">
        <is>
          <t>Washing-first</t>
        </is>
      </c>
      <c r="J18" s="20" t="inlineStr">
        <is>
          <t>Tue–Thu 9–11a / 1:30–4p</t>
        </is>
      </c>
      <c r="K18" s="17" t="inlineStr">
        <is>
          <t>To-call</t>
        </is>
      </c>
      <c r="L18" s="20" t="n"/>
      <c r="M18" s="19" t="n"/>
      <c r="N18" s="19" t="n"/>
    </row>
    <row r="19" ht="23.85" customHeight="1" s="13">
      <c r="A19" s="17" t="n">
        <v>15</v>
      </c>
      <c r="B19" s="18" t="inlineStr">
        <is>
          <t>★</t>
        </is>
      </c>
      <c r="C19" s="19" t="inlineStr">
        <is>
          <t>Sun Realty</t>
        </is>
      </c>
      <c r="D19" s="19" t="inlineStr">
        <is>
          <t>VRM, large</t>
        </is>
      </c>
      <c r="E19" s="19" t="inlineStr">
        <is>
          <t>OBX-wide</t>
        </is>
      </c>
      <c r="F19" s="20" t="inlineStr">
        <is>
          <t>(252) 441-7035</t>
        </is>
      </c>
      <c r="G19" s="20" t="inlineStr">
        <is>
          <t>sunrealtync.com</t>
        </is>
      </c>
      <c r="H19" s="19" t="inlineStr">
        <is>
          <t>Property-services / maintenance</t>
        </is>
      </c>
      <c r="I19" s="17" t="inlineStr">
        <is>
          <t>Washing-first</t>
        </is>
      </c>
      <c r="J19" s="20" t="inlineStr">
        <is>
          <t>Tue–Thu 9–11a / 1:30–4p</t>
        </is>
      </c>
      <c r="K19" s="17" t="inlineStr">
        <is>
          <t>To-call</t>
        </is>
      </c>
      <c r="L19" s="20" t="n"/>
      <c r="M19" s="19" t="n"/>
      <c r="N19" s="19" t="n"/>
    </row>
    <row r="20" ht="23.85" customHeight="1" s="13">
      <c r="A20" s="17" t="n">
        <v>16</v>
      </c>
      <c r="B20" s="18" t="inlineStr">
        <is>
          <t>★</t>
        </is>
      </c>
      <c r="C20" s="19" t="inlineStr">
        <is>
          <t>Outer Banks Blue</t>
        </is>
      </c>
      <c r="D20" s="19" t="inlineStr">
        <is>
          <t>VRM, 250+</t>
        </is>
      </c>
      <c r="E20" s="19" t="inlineStr">
        <is>
          <t>Nags Head→Corolla</t>
        </is>
      </c>
      <c r="F20" s="20" t="inlineStr">
        <is>
          <t>(252) 255-1220</t>
        </is>
      </c>
      <c r="G20" s="20" t="inlineStr">
        <is>
          <t>outerbanksblue.com</t>
        </is>
      </c>
      <c r="H20" s="19" t="inlineStr">
        <is>
          <t>Maintenance / property-services</t>
        </is>
      </c>
      <c r="I20" s="17" t="inlineStr">
        <is>
          <t>Washing-first</t>
        </is>
      </c>
      <c r="J20" s="20" t="inlineStr">
        <is>
          <t>Tue–Thu 9–11a / 1:30–4p</t>
        </is>
      </c>
      <c r="K20" s="17" t="inlineStr">
        <is>
          <t>To-call</t>
        </is>
      </c>
      <c r="L20" s="20" t="n"/>
      <c r="M20" s="19" t="n"/>
      <c r="N20" s="19" t="n"/>
    </row>
    <row r="21" ht="15" customHeight="1" s="13">
      <c r="A21" s="17" t="n">
        <v>17</v>
      </c>
      <c r="B21" s="18" t="inlineStr">
        <is>
          <t>★</t>
        </is>
      </c>
      <c r="C21" s="19" t="inlineStr">
        <is>
          <t>Village Realty</t>
        </is>
      </c>
      <c r="D21" s="19" t="inlineStr">
        <is>
          <t>VRM</t>
        </is>
      </c>
      <c r="E21" s="19" t="inlineStr">
        <is>
          <t>OBX-wide</t>
        </is>
      </c>
      <c r="F21" s="20" t="inlineStr">
        <is>
          <t>(252) 480-2224</t>
        </is>
      </c>
      <c r="G21" s="20" t="inlineStr">
        <is>
          <t>villagerealtyobx.com</t>
        </is>
      </c>
      <c r="H21" s="19" t="inlineStr">
        <is>
          <t>Property-management division</t>
        </is>
      </c>
      <c r="I21" s="17" t="inlineStr">
        <is>
          <t>Washing-first</t>
        </is>
      </c>
      <c r="J21" s="20" t="inlineStr">
        <is>
          <t>Tue–Thu 9–11a / 1:30–4p</t>
        </is>
      </c>
      <c r="K21" s="17" t="inlineStr">
        <is>
          <t>To-call</t>
        </is>
      </c>
      <c r="L21" s="20" t="n"/>
      <c r="M21" s="19" t="n"/>
      <c r="N21" s="19" t="n"/>
    </row>
    <row r="22" ht="23.85" customHeight="1" s="13">
      <c r="A22" s="17" t="n">
        <v>18</v>
      </c>
      <c r="B22" s="18" t="inlineStr">
        <is>
          <t>★</t>
        </is>
      </c>
      <c r="C22" s="19" t="inlineStr">
        <is>
          <t>Beach Realty &amp; Construction</t>
        </is>
      </c>
      <c r="D22" s="19" t="inlineStr">
        <is>
          <t>VRM (+ construction)</t>
        </is>
      </c>
      <c r="E22" s="19" t="inlineStr">
        <is>
          <t>Carova→Nags Head</t>
        </is>
      </c>
      <c r="F22" s="20" t="inlineStr">
        <is>
          <t>(252) 261-3815</t>
        </is>
      </c>
      <c r="G22" s="20" t="inlineStr">
        <is>
          <t>beachrealtync.com</t>
        </is>
      </c>
      <c r="H22" s="19" t="inlineStr">
        <is>
          <t>Maintenance / property-services</t>
        </is>
      </c>
      <c r="I22" s="17" t="inlineStr">
        <is>
          <t>Washing-first</t>
        </is>
      </c>
      <c r="J22" s="20" t="inlineStr">
        <is>
          <t>Tue–Thu 9–11a / 1:30–4p</t>
        </is>
      </c>
      <c r="K22" s="17" t="inlineStr">
        <is>
          <t>To-call</t>
        </is>
      </c>
      <c r="L22" s="20" t="n"/>
      <c r="M22" s="19" t="n"/>
      <c r="N22" s="19" t="n"/>
    </row>
    <row r="23" ht="15" customHeight="1" s="13">
      <c r="A23" s="17" t="n">
        <v>19</v>
      </c>
      <c r="B23" s="18" t="inlineStr">
        <is>
          <t>★</t>
        </is>
      </c>
      <c r="C23" s="19" t="inlineStr">
        <is>
          <t>Cove Realty</t>
        </is>
      </c>
      <c r="D23" s="19" t="inlineStr">
        <is>
          <t>VRM (smaller/local)</t>
        </is>
      </c>
      <c r="E23" s="19" t="inlineStr">
        <is>
          <t>Nags Head</t>
        </is>
      </c>
      <c r="F23" s="20" t="inlineStr">
        <is>
          <t>(252) 441-6391</t>
        </is>
      </c>
      <c r="G23" s="20" t="inlineStr">
        <is>
          <t>coverealty.com</t>
        </is>
      </c>
      <c r="H23" s="19" t="inlineStr">
        <is>
          <t>Owner / maintenance</t>
        </is>
      </c>
      <c r="I23" s="17" t="inlineStr">
        <is>
          <t>Watch-first</t>
        </is>
      </c>
      <c r="J23" s="20" t="inlineStr">
        <is>
          <t>Tue–Thu 9–11a / 1:30–4p</t>
        </is>
      </c>
      <c r="K23" s="17" t="inlineStr">
        <is>
          <t>To-call</t>
        </is>
      </c>
      <c r="L23" s="20" t="n"/>
      <c r="M23" s="19" t="n"/>
      <c r="N23" s="19" t="n"/>
    </row>
    <row r="24" ht="15" customHeight="1" s="13">
      <c r="A24" s="17" t="n">
        <v>20</v>
      </c>
      <c r="B24" s="17" t="inlineStr">
        <is>
          <t>verify</t>
        </is>
      </c>
      <c r="C24" s="19" t="inlineStr">
        <is>
          <t>Crew Cutters OBX</t>
        </is>
      </c>
      <c r="D24" s="19" t="inlineStr">
        <is>
          <t>Landscaping (partner)</t>
        </is>
      </c>
      <c r="E24" s="19" t="inlineStr">
        <is>
          <t>Corolla→Nags Head</t>
        </is>
      </c>
      <c r="F24" s="20" t="inlineStr">
        <is>
          <t>(252) 480-2689</t>
        </is>
      </c>
      <c r="G24" s="20" t="inlineStr">
        <is>
          <t>crewcuttersobx.com</t>
        </is>
      </c>
      <c r="H24" s="19" t="inlineStr">
        <is>
          <t>Owner / operations</t>
        </is>
      </c>
      <c r="I24" s="17" t="inlineStr">
        <is>
          <t>Referral</t>
        </is>
      </c>
      <c r="J24" s="20" t="inlineStr">
        <is>
          <t>Tue–Thu 9–11a / 1:30–4p</t>
        </is>
      </c>
      <c r="K24" s="17" t="inlineStr">
        <is>
          <t>To-call</t>
        </is>
      </c>
      <c r="L24" s="20" t="n"/>
      <c r="M24" s="19" t="n"/>
      <c r="N24" s="19" t="inlineStr">
        <is>
          <t>Phone verified 6/1. Partner/referral on washing only — now competes on yard-work line.</t>
        </is>
      </c>
    </row>
  </sheetData>
  <autoFilter ref="A4:N24"/>
  <conditionalFormatting sqref="K5:K24">
    <cfRule type="cellIs" rank="0" priority="2" equalAverage="0" operator="equal" aboveAverage="0" dxfId="6" text="" percent="0" bottom="0">
      <formula>"Won"</formula>
    </cfRule>
    <cfRule type="cellIs" rank="0" priority="3" equalAverage="0" operator="equal" aboveAverage="0" dxfId="7" text="" percent="0" bottom="0">
      <formula>"Lost"</formula>
    </cfRule>
    <cfRule type="cellIs" rank="0" priority="4" equalAverage="0" operator="equal" aboveAverage="0" dxfId="8" text="" percent="0" bottom="0">
      <formula>"Quoted"</formula>
    </cfRule>
    <cfRule type="cellIs" rank="0" priority="5" equalAverage="0" operator="equal" aboveAverage="0" dxfId="9" text="" percent="0" bottom="0">
      <formula>"Contacted"</formula>
    </cfRule>
    <cfRule type="cellIs" rank="0" priority="6" equalAverage="0" operator="equal" aboveAverage="0" dxfId="10" text="" percent="0" bottom="0">
      <formula>"Callback"</formula>
    </cfRule>
    <cfRule type="cellIs" rank="0" priority="7" equalAverage="0" operator="equal" aboveAverage="0" dxfId="11" text="" percent="0" bottom="0">
      <formula>"To-call"</formula>
    </cfRule>
  </conditionalFormatting>
  <dataValidations count="1">
    <dataValidation sqref="K5:K24" showDropDown="0" showInputMessage="0" showErrorMessage="0" allowBlank="0" type="list" errorStyle="stop" operator="between">
      <formula1>"To-call,Contacted,Callback,Quoted,Won,Lost"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2" min="1" max="1"/>
    <col width="12" customWidth="1" style="12" min="2" max="2"/>
    <col width="4" customWidth="1" style="12" min="3" max="3"/>
    <col width="16" customWidth="1" style="12" min="4" max="4"/>
    <col width="12" customWidth="1" style="12" min="5" max="5"/>
  </cols>
  <sheetData>
    <row r="1" ht="17.35" customHeight="1" s="13">
      <c r="A1" s="14" t="inlineStr">
        <is>
          <t>Pipeline Dashboard</t>
        </is>
      </c>
    </row>
    <row r="3" ht="15" customHeight="1" s="13">
      <c r="A3" s="21" t="inlineStr">
        <is>
          <t>By status</t>
        </is>
      </c>
      <c r="D3" s="21" t="inlineStr">
        <is>
          <t>By pitch</t>
        </is>
      </c>
    </row>
    <row r="4" ht="15" customHeight="1" s="13">
      <c r="A4" s="22" t="inlineStr">
        <is>
          <t>To-call</t>
        </is>
      </c>
      <c r="B4" s="22">
        <f>COUNTIF(Pipeline!K:K,"To-call")</f>
        <v/>
      </c>
      <c r="D4" s="22" t="inlineStr">
        <is>
          <t>Washing-first</t>
        </is>
      </c>
      <c r="E4" s="22">
        <f>COUNTIF(Pipeline!I:I,"Washing-first")</f>
        <v/>
      </c>
    </row>
    <row r="5" ht="15" customHeight="1" s="13">
      <c r="A5" s="22" t="inlineStr">
        <is>
          <t>Contacted</t>
        </is>
      </c>
      <c r="B5" s="22">
        <f>COUNTIF(Pipeline!K:K,"Contacted")</f>
        <v/>
      </c>
      <c r="D5" s="22" t="inlineStr">
        <is>
          <t>Watch-first</t>
        </is>
      </c>
      <c r="E5" s="22">
        <f>COUNTIF(Pipeline!I:I,"Watch-first")</f>
        <v/>
      </c>
    </row>
    <row r="6" ht="15" customHeight="1" s="13">
      <c r="A6" s="22" t="inlineStr">
        <is>
          <t>Callback</t>
        </is>
      </c>
      <c r="B6" s="22">
        <f>COUNTIF(Pipeline!K:K,"Callback")</f>
        <v/>
      </c>
      <c r="D6" s="22" t="inlineStr">
        <is>
          <t>Referral</t>
        </is>
      </c>
      <c r="E6" s="22">
        <f>COUNTIF(Pipeline!I:I,"Referral")</f>
        <v/>
      </c>
    </row>
    <row r="7" ht="15" customHeight="1" s="13">
      <c r="A7" s="22" t="inlineStr">
        <is>
          <t>Quoted</t>
        </is>
      </c>
      <c r="B7" s="22">
        <f>COUNTIF(Pipeline!K:K,"Quoted")</f>
        <v/>
      </c>
    </row>
    <row r="8" ht="15" customHeight="1" s="13">
      <c r="A8" s="22" t="inlineStr">
        <is>
          <t>Won</t>
        </is>
      </c>
      <c r="B8" s="22">
        <f>COUNTIF(Pipeline!K:K,"Won")</f>
        <v/>
      </c>
      <c r="D8" s="23" t="inlineStr">
        <is>
          <t>Call-now (★)</t>
        </is>
      </c>
      <c r="E8" s="12">
        <f>COUNTIF(Pipeline!B:B,"★")</f>
        <v/>
      </c>
    </row>
    <row r="9" ht="15" customHeight="1" s="13">
      <c r="A9" s="22" t="inlineStr">
        <is>
          <t>Lost</t>
        </is>
      </c>
      <c r="B9" s="22">
        <f>COUNTIF(Pipeline!K:K,"Lost")</f>
        <v/>
      </c>
    </row>
    <row r="10" ht="15" customHeight="1" s="13">
      <c r="A10" s="23" t="inlineStr">
        <is>
          <t>Total targets</t>
        </is>
      </c>
      <c r="B10" s="23">
        <f>COUNTA(Pipeline!C5:C24)</f>
        <v/>
      </c>
    </row>
    <row r="12" ht="15" customHeight="1" s="13">
      <c r="A12" s="23" t="inlineStr">
        <is>
          <t>Win rate (Won / contacted+)</t>
        </is>
      </c>
      <c r="B12" s="24">
        <f>IFERROR(B9/(B5+B6+B7+B8+B9),0)</f>
        <v/>
      </c>
    </row>
    <row r="15" ht="15" customHeight="1" s="13">
      <c r="A15" s="15" t="inlineStr">
        <is>
          <t>Goal: book 2–3 walkthroughs/week. Move every 'Contacted' to 'Quoted' within a week. Log a Callback date in Next action.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2026-05-31T14:46:52Z</dcterms:created>
  <dcterms:modified xmlns:dcterms="http://purl.org/dc/terms/" xmlns:xsi="http://www.w3.org/2001/XMLSchema-instance" xsi:type="dcterms:W3CDTF">2026-05-31T19:33:36Z</dcterms:modified>
  <cp:revision>0</cp:revision>
</cp:coreProperties>
</file>